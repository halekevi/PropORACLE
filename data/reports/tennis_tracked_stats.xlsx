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 (read first)" sheetId="1" state="visible" r:id="rId3"/>
    <sheet name="LIVE TICKET LIST" sheetId="2" state="visible" r:id="rId4"/>
    <sheet name="Rank Stack (Sep 25)" sheetId="3" state="visible" r:id="rId5"/>
    <sheet name="Rank x Prop (Step8 Join)" sheetId="4" state="visible" r:id="rId6"/>
    <sheet name="Factor &amp; Gate Inventory" sheetId="5" state="visible" r:id="rId7"/>
    <sheet name="Tracked Cells" sheetId="6" state="visible" r:id="rId8"/>
    <sheet name="Aces Deep Dive" sheetId="7" state="visible" r:id="rId9"/>
    <sheet name="Board Strip" sheetId="8" state="visible" r:id="rId10"/>
    <sheet name="Gated Paths" sheetId="9" state="visible" r:id="rId11"/>
    <sheet name="Confidence Intervals" sheetId="10" state="visible" r:id="rId12"/>
    <sheet name="Factor Summary" sheetId="11" state="visible" r:id="rId13"/>
    <sheet name="Consistency Notes" sheetId="12" state="visible" r:id="rId14"/>
    <sheet name="Verification 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<sst xmlns="http://schemas.openxmlformats.org/spreadsheetml/2006/main" count="927" uniqueCount="480">
  <si>
    <t xml:space="preserve">Std UNDER Aces/DF: KEEP -&gt; FADE (bug found in source data)</t>
  </si>
  <si>
    <t xml:space="preserve">Verified from H:\PropORACLE\data\reports\tennis_serve_backfill_under_inflation.json (generated_at 2026-09-15T18:30:00+00:00). This supersedes every earlier tab that showed Std UNDER Aces/DF as a keep.</t>
  </si>
  <si>
    <t xml:space="preserve">What happened</t>
  </si>
  <si>
    <t xml:space="preserve">Missing ESPN serve actuals historically coerced to 0.0. That is asymmetric by direction.</t>
  </si>
  <si>
    <t xml:space="preserve">OVER:</t>
  </si>
  <si>
    <t xml:space="preserve">actual 0 vs line 2.5+ → always MISS (the 142-row contaminated Std OVER Aces batch at 0%)</t>
  </si>
  <si>
    <t xml:space="preserve">UNDER:</t>
  </si>
  <si>
    <t xml:space="preserve">actual 0 vs line 2.5+ → always HIT (inflated pre-backfill Std UNDER Aces/DF to ~90%)</t>
  </si>
  <si>
    <t xml:space="preserve">Before vs after backfill</t>
  </si>
  <si>
    <t xml:space="preserve">Cell</t>
  </si>
  <si>
    <t xml:space="preserve">Before</t>
  </si>
  <si>
    <t xml:space="preserve">After (n)</t>
  </si>
  <si>
    <t xml:space="preserve">After hit %</t>
  </si>
  <si>
    <t xml:space="preserve">After 95% CI</t>
  </si>
  <si>
    <t xml:space="preserve">Call</t>
  </si>
  <si>
    <t xml:space="preserve">Std UNDER Aces</t>
  </si>
  <si>
    <t xml:space="preserve">90.6% (n=96)</t>
  </si>
  <si>
    <t xml:space="preserve">[44.2, 69.7]%</t>
  </si>
  <si>
    <t xml:space="preserve">FADE (was KEEP)</t>
  </si>
  <si>
    <t xml:space="preserve">Std UNDER Double Faults</t>
  </si>
  <si>
    <t xml:space="preserve">90.0% (n=50)</t>
  </si>
  <si>
    <t xml:space="preserve">[15.3, 47.1]%</t>
  </si>
  <si>
    <t xml:space="preserve">Std OVER Aces</t>
  </si>
  <si>
    <t xml:space="preserve">24.4-32.1% (contam.)</t>
  </si>
  <si>
    <t xml:space="preserve">[28.3, 36.7]%</t>
  </si>
  <si>
    <t xml:space="preserve">still FADE</t>
  </si>
  <si>
    <t xml:space="preserve">Std OVER Double Faults</t>
  </si>
  <si>
    <t xml:space="preserve">30.2% (n=643, pre-backfill)</t>
  </si>
  <si>
    <t xml:space="preserve">[34.5, 42.9]%</t>
  </si>
  <si>
    <t xml:space="preserve">Backfill result</t>
  </si>
  <si>
    <t xml:space="preserve">patched=14238 voided=16439 (missing Sackmann/TA → VOID, not fake 0)</t>
  </si>
  <si>
    <t xml:space="preserve">Unchanged keeps (not affected by this bug)</t>
  </si>
  <si>
    <t xml:space="preserve">- Goblin Games Won L10≥8+(lefty|2nd-won≥45.7) / Std−Goblin≥4</t>
  </si>
  <si>
    <t xml:space="preserve">- Goblin Total Games L5≥4+L10≥8 | L10≥8+lefty</t>
  </si>
  <si>
    <t xml:space="preserve">- Std OVER Games Won L10≥8+(gap|2nd-won) thin</t>
  </si>
  <si>
    <t xml:space="preserve">Independent check: all 4 post-backfill hit-rate/CI pairs above were re-derived (hit count solved from n x hit%%, then run through the same Wilson formula used throughout this workbook) and matched the file exactly -- e.g. Aces UNDER = 31/54, CI [44.2, 69.7]%%.</t>
  </si>
  <si>
    <t xml:space="preserve">Lesson: a green 'verified' tab elsewhere in this workbook means the numbers were read faithfully from the named file -- it does NOT mean the pipeline that produced those numbers was free of bugs. This file is the correction for exactly that gap.</t>
  </si>
  <si>
    <t xml:space="preserve">Tennis — What Actually Makes the Ticket List</t>
  </si>
  <si>
    <t xml:space="preserve">Current as of the serve-backfill correction. Green = matches a file read byte-for-byte; amber = mechanistically consistent but not yet file-verified.</t>
  </si>
  <si>
    <t xml:space="preserve">Prop</t>
  </si>
  <si>
    <t xml:space="preserve">Book</t>
  </si>
  <si>
    <t xml:space="preserve">Gate</t>
  </si>
  <si>
    <t xml:space="preserve">Hit %</t>
  </si>
  <si>
    <t xml:space="preserve">95% CI</t>
  </si>
  <si>
    <t xml:space="preserve">N</t>
  </si>
  <si>
    <t xml:space="preserve">Verified?</t>
  </si>
  <si>
    <t xml:space="preserve">Games Won</t>
  </si>
  <si>
    <t xml:space="preserve">Goblin OVER</t>
  </si>
  <si>
    <t xml:space="preserve">L10&gt;=8 + L5 2nd-won% &gt;=45.7</t>
  </si>
  <si>
    <t xml:space="preserve">[79.8, 86.7]</t>
  </si>
  <si>
    <t xml:space="preserve">Yes - tennis_next_cuts.json</t>
  </si>
  <si>
    <t xml:space="preserve">L10&gt;=8 + vs lefty</t>
  </si>
  <si>
    <t xml:space="preserve">[78.3, 91.6]</t>
  </si>
  <si>
    <t xml:space="preserve">union (lefty | 2nd-won)</t>
  </si>
  <si>
    <t xml:space="preserve">[79.1, 85.7]</t>
  </si>
  <si>
    <t xml:space="preserve">Std-Goblin &gt;=4 (catalog join)</t>
  </si>
  <si>
    <t xml:space="preserve">-</t>
  </si>
  <si>
    <t xml:space="preserve">Yes - tennis_board_category_hit_rates.json (note: standard_line often missing)</t>
  </si>
  <si>
    <t xml:space="preserve">Total Games</t>
  </si>
  <si>
    <t xml:space="preserve">L5&gt;=4 + L10&gt;=8</t>
  </si>
  <si>
    <t xml:space="preserve">[66.9, 87.1]</t>
  </si>
  <si>
    <t xml:space="preserve">L10&gt;=8 + lefty</t>
  </si>
  <si>
    <t xml:space="preserve">[70.3, 87.1]</t>
  </si>
  <si>
    <t xml:space="preserve">union</t>
  </si>
  <si>
    <t xml:space="preserve">[71.7, 85.2]</t>
  </si>
  <si>
    <t xml:space="preserve">Std OVER</t>
  </si>
  <si>
    <t xml:space="preserve">L10&gt;=8 + (gap&gt;=5 | 2nd-won&gt;=45.7)</t>
  </si>
  <si>
    <t xml:space="preserve">Yes, thin - tennis_next_cuts.json (treat as unconfirmed)</t>
  </si>
  <si>
    <t xml:space="preserve">Ungated board, post serve-backfill (for reference — none of these clear keep)</t>
  </si>
  <si>
    <t xml:space="preserve">Std UNDER</t>
  </si>
  <si>
    <t xml:space="preserve">73.9% n=4566</t>
  </si>
  <si>
    <t xml:space="preserve">51.2% n=1255</t>
  </si>
  <si>
    <t xml:space="preserve">50.5% n=656</t>
  </si>
  <si>
    <t xml:space="preserve">Games Won Std UNDER n matches tennis_serve_backfill_under_inflation.json; Goblin/Std OVER n's not yet in a file read here</t>
  </si>
  <si>
    <t xml:space="preserve">66.3% n=3686</t>
  </si>
  <si>
    <t xml:space="preserve">50.2% n=1294</t>
  </si>
  <si>
    <t xml:space="preserve">56.3% n=536</t>
  </si>
  <si>
    <t xml:space="preserve">close to but not identical to last file-verified n's (3678/1289/535) -- consistent with a few more rows resolving post-backfill</t>
  </si>
  <si>
    <t xml:space="preserve">Aces</t>
  </si>
  <si>
    <t xml:space="preserve">39.8% n=1779</t>
  </si>
  <si>
    <t xml:space="preserve">32.3% n=473</t>
  </si>
  <si>
    <t xml:space="preserve">57.4% n=54</t>
  </si>
  <si>
    <t xml:space="preserve">Std OVER/UNDER match tennis_serve_backfill_under_inflation.json exactly; Goblin OVER is new, not yet file-verified (but matches the expected bug-correction direction/magnitude)</t>
  </si>
  <si>
    <t xml:space="preserve">Double Faults</t>
  </si>
  <si>
    <t xml:space="preserve">52.3% n=1759</t>
  </si>
  <si>
    <t xml:space="preserve">38.6% n=523</t>
  </si>
  <si>
    <t xml:space="preserve">28.6% n=28</t>
  </si>
  <si>
    <t xml:space="preserve">Std OVER/UNDER match tennis_serve_backfill_under_inflation.json exactly; Goblin OVER is new, not yet file-verified</t>
  </si>
  <si>
    <t xml:space="preserve">Off tickets / off the list entirely:</t>
  </si>
  <si>
    <t xml:space="preserve">Aces &amp; Double Faults (either side, every book) · Demons (any prop) · Total Sets / Tie Breaks · Fantasy Score · Break Points Won · all 1st-set markets</t>
  </si>
  <si>
    <t xml:space="preserve">Full Gate + Rank Stack Refresh -- VERIFIED from tennis_all_props_rank_stack.json</t>
  </si>
  <si>
    <t xml:space="preserve">generated_at 2026-09-25T01:13:01.354277+00:00 · legs=18171. Every row below read directly from the file, not transcribed from chat.</t>
  </si>
  <si>
    <t xml:space="preserve">Hits/N</t>
  </si>
  <si>
    <t xml:space="preserve">Note</t>
  </si>
  <si>
    <t xml:space="preserve">games_won</t>
  </si>
  <si>
    <t xml:space="preserve">L10≥8 + (lefty|2nd-won≥45.7)</t>
  </si>
  <si>
    <t xml:space="preserve">429/525</t>
  </si>
  <si>
    <t xml:space="preserve">matches chat exactly</t>
  </si>
  <si>
    <t xml:space="preserve">L10≥8 + 2nd-won≥45.7</t>
  </si>
  <si>
    <t xml:space="preserve">386/468</t>
  </si>
  <si>
    <t xml:space="preserve">Standard OVER</t>
  </si>
  <si>
    <t xml:space="preserve">KEEP L10≥8+(gap≥5|2nd-won)</t>
  </si>
  <si>
    <t xml:space="preserve">31/42</t>
  </si>
  <si>
    <t xml:space="preserve">match_total_games</t>
  </si>
  <si>
    <t xml:space="preserve">KEEP union (L5≥4+L10≥8 | L10≥8+lefty)</t>
  </si>
  <si>
    <t xml:space="preserve">120/150</t>
  </si>
  <si>
    <t xml:space="preserve">L10≥8 + lefty</t>
  </si>
  <si>
    <t xml:space="preserve">81/100</t>
  </si>
  <si>
    <t xml:space="preserve">L10=10</t>
  </si>
  <si>
    <t xml:space="preserve">81/99</t>
  </si>
  <si>
    <t xml:space="preserve">double_faults</t>
  </si>
  <si>
    <t xml:space="preserve">L10&gt;=8</t>
  </si>
  <si>
    <t xml:space="preserve">35/46</t>
  </si>
  <si>
    <t xml:space="preserve">matches chat exactly -- thin, not a keep</t>
  </si>
  <si>
    <t xml:space="preserve">aces</t>
  </si>
  <si>
    <t xml:space="preserve">15/26</t>
  </si>
  <si>
    <t xml:space="preserve">matches chat exactly -- still a fade</t>
  </si>
  <si>
    <t xml:space="preserve">CORRECTION: Goblin OVER Aces/DF ungated (previously pasted as unverified estimates)</t>
  </si>
  <si>
    <t xml:space="preserve">Previously stated (unverified)</t>
  </si>
  <si>
    <t xml:space="preserve">Actual (file-verified)</t>
  </si>
  <si>
    <t xml:space="preserve">Aces (Goblin OVER, ungated)</t>
  </si>
  <si>
    <t xml:space="preserve">39.8% n=1779 (unverified estimate)</t>
  </si>
  <si>
    <t xml:space="preserve">32.9% n=2141, 705 hits (file-verified)</t>
  </si>
  <si>
    <t xml:space="preserve">Double Faults (Goblin OVER, ungated)</t>
  </si>
  <si>
    <t xml:space="preserve">52.3% n=1759 (unverified estimate)</t>
  </si>
  <si>
    <t xml:space="preserve">42.9% n=2140, 917 hits (file-verified)</t>
  </si>
  <si>
    <t xml:space="preserve">Neither correction changes any keep/fade call -- both stay well off keep territory. Flagging only because the earlier figures were explicitly marked unverified at the time, and now can be shown to have been off by 7-9pp each.</t>
  </si>
  <si>
    <t xml:space="preserve">SHIPPED (2026-09-25): player-better-50+ fade wired into utils/tennis_keep_gates.py</t>
  </si>
  <si>
    <t xml:space="preserve">Goblin OVER Games Won (union / 2nd-won -- the two biggest keeps) drops to 52.0% (n=25) specifically when the Goblin player is ranked 50+ spots better than the opponent (lift -29.7pp vs the 81.7% base). The edge is concentrated in close or inverted matchups, not in a clear favorite blowing out a weak opponent's games-won total. Worth avoiding this gate on the biggest ranking mismatches even though the overall base rate looks strong.</t>
  </si>
  <si>
    <t xml:space="preserve">Confirmed shipped -- utils/tennis_keep_gates.py now sits the Goblin Games Won keep gates when opp_rank - player_rank &gt;= 50 (unranked players still keep). Total Games gate unchanged. Tests added; ranker now passes player_atp_rank / opponent_rank / ranking_diff; best-props-active-sports.mdc updated.</t>
  </si>
  <si>
    <t xml:space="preserve">Before / after the fade -- independently recomputed from tennis_all_props_rank_stack.json, not transcribed</t>
  </si>
  <si>
    <t xml:space="preserve">Before (hit %)</t>
  </si>
  <si>
    <t xml:space="preserve">Before (hits/n)</t>
  </si>
  <si>
    <t xml:space="preserve">After drop 50+ (hit %)</t>
  </si>
  <si>
    <t xml:space="preserve">After drop 50+ (hits/n)</t>
  </si>
  <si>
    <t xml:space="preserve">Dropped band (hit %/hits/n)</t>
  </si>
  <si>
    <t xml:space="preserve">KEEP union / L10≥8+(lefty|2nd-won)</t>
  </si>
  <si>
    <t xml:space="preserve">416/500</t>
  </si>
  <si>
    <t xml:space="preserve">52.0% (13/25)</t>
  </si>
  <si>
    <t xml:space="preserve">373/443</t>
  </si>
  <si>
    <t xml:space="preserve">Both after-figures match the user's pasted before/after table to the decimal once independently recomputed as (base_hits - dropped_hits)/(base_n - dropped_n) from the same rank_stacks the caution was built from -- consistent because both gates carry the identical player-better-50+ band (n=25, hits=13).</t>
  </si>
  <si>
    <t xml:space="preserve">Offense/Defense Rank Split by Prop -- VERIFIED from tennis_rank_by_prop_step8_join.json</t>
  </si>
  <si>
    <t xml:space="preserve">matched_legs=8179 unmatched_legs=6936 · player_atp_rank=offense, opponent_rank=defense · bands: 1-10 Elite, 11-25 Above Avg, 26-50 Avg, 51-100 Below Avg, 101+ Weak. Every row below read directly from the file; all 20 partitions independently re-summed to their base and matched exactly.</t>
  </si>
  <si>
    <t xml:space="preserve">CORRECTION: Total Games / Goblin / OVER vs Elite opponents was mislabeled "under 15 rows" -- actual n=30</t>
  </si>
  <si>
    <t xml:space="preserve">File-verified: Elite-opponent band is 15/30 (50.0%), not omitted for being under 15 rows. The chart that first showed this split only plotted bands with n&gt;=60, so the n=30 Elite bucket was left off -- the join itself always kept all 30 legs, and the "under 15" line was a bad description of that display filter, not a data gap. All 5 bands here sum exactly to the 1,040/1,783 base.</t>
  </si>
  <si>
    <t xml:space="preserve">Games Won / Goblin OVER -- by opponent rank (defense)</t>
  </si>
  <si>
    <t xml:space="preserve">base 1402/1916 (73.2%)</t>
  </si>
  <si>
    <t xml:space="preserve">Tier</t>
  </si>
  <si>
    <t xml:space="preserve">Hits</t>
  </si>
  <si>
    <t xml:space="preserve">Elite</t>
  </si>
  <si>
    <t xml:space="preserve">Above Avg</t>
  </si>
  <si>
    <t xml:space="preserve">Avg</t>
  </si>
  <si>
    <t xml:space="preserve">Below Avg</t>
  </si>
  <si>
    <t xml:space="preserve">Weak</t>
  </si>
  <si>
    <t xml:space="preserve">Not monotonic: Weak (73.0%) beats Below Avg (66.0%). Real end-to-end rise toward Elite, not a straight line.</t>
  </si>
  <si>
    <t xml:space="preserve">Games Won / Goblin OVER -- by player's own rank (offense)</t>
  </si>
  <si>
    <t xml:space="preserve">Total Games / Goblin OVER -- by opponent rank (defense)</t>
  </si>
  <si>
    <t xml:space="preserve">base 1040/1783 (58.3%)</t>
  </si>
  <si>
    <t xml:space="preserve">Total Games / Goblin OVER -- by player's own rank (offense)</t>
  </si>
  <si>
    <t xml:space="preserve">Games Won / Standard OVER -- by opponent rank (defense)</t>
  </si>
  <si>
    <t xml:space="preserve">base 347/559 (62.1%)</t>
  </si>
  <si>
    <t xml:space="preserve">Games Won / Standard UNDER -- by opponent rank (defense)</t>
  </si>
  <si>
    <t xml:space="preserve">base 189/378 (50.0%)</t>
  </si>
  <si>
    <t xml:space="preserve">Total Games / Standard OVER -- by opponent rank (defense)</t>
  </si>
  <si>
    <t xml:space="preserve">base 277/605 (45.8%)</t>
  </si>
  <si>
    <t xml:space="preserve">Total Games / Standard UNDER -- by opponent rank (defense)</t>
  </si>
  <si>
    <t xml:space="preserve">base 176/267 (65.9%)</t>
  </si>
  <si>
    <t xml:space="preserve">Rank gap, Goblin OVER (opponent_rank - player_rank; positive = player is the better rank)</t>
  </si>
  <si>
    <t xml:space="preserve">Gap band</t>
  </si>
  <si>
    <t xml:space="preserve">Games Won hits/n</t>
  </si>
  <si>
    <t xml:space="preserve">Games Won %</t>
  </si>
  <si>
    <t xml:space="preserve">Total Games hits/n</t>
  </si>
  <si>
    <t xml:space="preserve">Total Games %</t>
  </si>
  <si>
    <t xml:space="preserve">player better by 50+</t>
  </si>
  <si>
    <t xml:space="preserve">148/194</t>
  </si>
  <si>
    <t xml:space="preserve">388/630</t>
  </si>
  <si>
    <t xml:space="preserve">player better by 25-49</t>
  </si>
  <si>
    <t xml:space="preserve">110/161</t>
  </si>
  <si>
    <t xml:space="preserve">208/331</t>
  </si>
  <si>
    <t xml:space="preserve">within 25 spots</t>
  </si>
  <si>
    <t xml:space="preserve">498/678</t>
  </si>
  <si>
    <t xml:space="preserve">356/659</t>
  </si>
  <si>
    <t xml:space="preserve">opponent better by 25+</t>
  </si>
  <si>
    <t xml:space="preserve">646/883</t>
  </si>
  <si>
    <t xml:space="preserve">88/163</t>
  </si>
  <si>
    <t xml:space="preserve">The four players from the two slips -- each cell file-verified via the pairs table</t>
  </si>
  <si>
    <t xml:space="preserve">Player</t>
  </si>
  <si>
    <t xml:space="preserve">Offense</t>
  </si>
  <si>
    <t xml:space="preserve">Defense</t>
  </si>
  <si>
    <t xml:space="preserve">Cell hits/n</t>
  </si>
  <si>
    <t xml:space="preserve">Cell %</t>
  </si>
  <si>
    <t xml:space="preserve">Tsitsipas</t>
  </si>
  <si>
    <t xml:space="preserve">53/60</t>
  </si>
  <si>
    <t xml:space="preserve">Swiatek</t>
  </si>
  <si>
    <t xml:space="preserve">73/120</t>
  </si>
  <si>
    <t xml:space="preserve">Botic</t>
  </si>
  <si>
    <t xml:space="preserve">64/82</t>
  </si>
  <si>
    <t xml:space="preserve">Bergs</t>
  </si>
  <si>
    <t xml:space="preserve">Botic and Bergs share the same Avg-vs-Above Avg cell. Sitting Overs against Elite/Above Avg opponents would have removed all three of this week's Games Won legs, including the bucket that has cashed most often historically.</t>
  </si>
  <si>
    <t xml:space="preserve">Aces and Double Faults have no usable actuals in this join either: Goblin OVER aces is 0/1402 and double faults 0/1001 -- zero hits across every band, consistent with the serve-actuals bug already tracked in the CORRECTION tab. Rank has nothing to measure there until that's fixed upstream.</t>
  </si>
  <si>
    <t xml:space="preserve">Tennis Factor Availability + Live Gating Rules -- VERIFIED from tennis_factor_hit_rate_lift.json</t>
  </si>
  <si>
    <t xml:space="preserve">file generated 2026-09-15 · legs=18467 · players_indexed=1434 · min_n=30. Availability rows and baselines below read directly from the file.</t>
  </si>
  <si>
    <t xml:space="preserve">CAVEAT: this file predates the serve-actuals backfill (generated 2026-09-15). Its Standard UNDER Aces/Double Faults baselines below (90.6% / 90.0%) are the OLD pre-backfill numbers -- use the CORRECTION tab's post-backfill figures (57.4% / 28.6%) for actual hit-rate decisions. This file is only being used here for factor AVAILABILITY, which is unaffected by the backfill.</t>
  </si>
  <si>
    <t xml:space="preserve">COMPLETENESS NOTE: the file also tracks a "Rally" family (winners / unforced+forced errors / rally length / net points) that is 100% unavailable -- it was left off the pasted 10-category list in favor of "Recency," which isn't a file-tracked availability family (recency lives in the L5/L10 numeric lifts instead). Doesn't change anything actionable since every Rally stat is unavailable.</t>
  </si>
  <si>
    <t xml:space="preserve">Board / Prediction Categories -- what's graded, by book</t>
  </si>
  <si>
    <t xml:space="preserve">Standard UNDER</t>
  </si>
  <si>
    <t xml:space="preserve">pre-backfill figure -- see CORRECTION tab</t>
  </si>
  <si>
    <t xml:space="preserve">total_tie_breaks</t>
  </si>
  <si>
    <t xml:space="preserve">Factor Availability -- by family</t>
  </si>
  <si>
    <t xml:space="preserve">Family</t>
  </si>
  <si>
    <t xml:space="preserve">Stat</t>
  </si>
  <si>
    <t xml:space="preserve">Source</t>
  </si>
  <si>
    <t xml:space="preserve">Status</t>
  </si>
  <si>
    <t xml:space="preserve">Graded</t>
  </si>
  <si>
    <t xml:space="preserve">Service</t>
  </si>
  <si>
    <t xml:space="preserve">Sackmann + TA</t>
  </si>
  <si>
    <t xml:space="preserve">tracked</t>
  </si>
  <si>
    <t xml:space="preserve">backfillable</t>
  </si>
  <si>
    <t xml:space="preserve">Double faults</t>
  </si>
  <si>
    <t xml:space="preserve">1st serve % (serves in)</t>
  </si>
  <si>
    <t xml:space="preserve">tracked_now</t>
  </si>
  <si>
    <t xml:space="preserve">no</t>
  </si>
  <si>
    <t xml:space="preserve">1st serve points won %</t>
  </si>
  <si>
    <t xml:space="preserve">2nd serve points won %</t>
  </si>
  <si>
    <t xml:space="preserve">Service games won %</t>
  </si>
  <si>
    <t xml:space="preserve">partial (TA games)</t>
  </si>
  <si>
    <t xml:space="preserve">partial</t>
  </si>
  <si>
    <t xml:space="preserve">Break points saved %</t>
  </si>
  <si>
    <t xml:space="preserve">Service points won % total</t>
  </si>
  <si>
    <t xml:space="preserve">derivable</t>
  </si>
  <si>
    <t xml:space="preserve">not_yet</t>
  </si>
  <si>
    <t xml:space="preserve">Avg / max serve speed</t>
  </si>
  <si>
    <t xml:space="preserve">none</t>
  </si>
  <si>
    <t xml:space="preserve">unavailable</t>
  </si>
  <si>
    <t xml:space="preserve">Unreturned serves %</t>
  </si>
  <si>
    <t xml:space="preserve">Return</t>
  </si>
  <si>
    <t xml:space="preserve">Return / 1st / 2nd return pts %</t>
  </si>
  <si>
    <t xml:space="preserve">none in flat files</t>
  </si>
  <si>
    <t xml:space="preserve">Break points converted</t>
  </si>
  <si>
    <t xml:space="preserve">voids</t>
  </si>
  <si>
    <t xml:space="preserve">Return games won %</t>
  </si>
  <si>
    <t xml:space="preserve">Rally</t>
  </si>
  <si>
    <t xml:space="preserve">Winners / UFE / FE / rally length / net</t>
  </si>
  <si>
    <t xml:space="preserve">Structure</t>
  </si>
  <si>
    <t xml:space="preserve">Total games / games won / sets / TB</t>
  </si>
  <si>
    <t xml:space="preserve">score parse</t>
  </si>
  <si>
    <t xml:space="preserve">yes (games)</t>
  </si>
  <si>
    <t xml:space="preserve">Bagels / breadsticks / deciding-set</t>
  </si>
  <si>
    <t xml:space="preserve">score parseable</t>
  </si>
  <si>
    <t xml:space="preserve">Clutch</t>
  </si>
  <si>
    <t xml:space="preserve">BP faced/saved/converted counts</t>
  </si>
  <si>
    <t xml:space="preserve">Deuce / Ad / rebreak / hold %</t>
  </si>
  <si>
    <t xml:space="preserve">point-by-point</t>
  </si>
  <si>
    <t xml:space="preserve">Situational</t>
  </si>
  <si>
    <t xml:space="preserve">1st-set W/L, 3-set, day/night, venue</t>
  </si>
  <si>
    <t xml:space="preserve">vs lefty</t>
  </si>
  <si>
    <t xml:space="preserve">Sackmann hand + TA ohand</t>
  </si>
  <si>
    <t xml:space="preserve">n/a factor</t>
  </si>
  <si>
    <t xml:space="preserve">Surface win % / by surface</t>
  </si>
  <si>
    <t xml:space="preserve">Sackmann surface</t>
  </si>
  <si>
    <t xml:space="preserve">Physical</t>
  </si>
  <si>
    <t xml:space="preserve">Match minutes</t>
  </si>
  <si>
    <t xml:space="preserve">Sackmann</t>
  </si>
  <si>
    <t xml:space="preserve">Days rest / B2B</t>
  </si>
  <si>
    <t xml:space="preserve">derived from dates</t>
  </si>
  <si>
    <t xml:space="preserve">Distance run</t>
  </si>
  <si>
    <t xml:space="preserve">H2H</t>
  </si>
  <si>
    <t xml:space="preserve">H2H overall / surface / recent</t>
  </si>
  <si>
    <t xml:space="preserve">row h2h_* sometimes</t>
  </si>
  <si>
    <t xml:space="preserve">partial_row</t>
  </si>
  <si>
    <t xml:space="preserve">n/a</t>
  </si>
  <si>
    <t xml:space="preserve">Ranking</t>
  </si>
  <si>
    <t xml:space="preserve">ATP/WTA rank + gap</t>
  </si>
  <si>
    <t xml:space="preserve">D via rank</t>
  </si>
  <si>
    <t xml:space="preserve">ELO / seeding trend</t>
  </si>
  <si>
    <t xml:space="preserve">Tournament</t>
  </si>
  <si>
    <t xml:space="preserve">Level / best-of / surface</t>
  </si>
  <si>
    <t xml:space="preserve">Altitude / draw difficulty</t>
  </si>
  <si>
    <t xml:space="preserve">What Actually Gates Tickets Today (not in this JSON -- cross-referenced to LIVE TICKET LIST / Rank Stack tabs)</t>
  </si>
  <si>
    <t xml:space="preserve">Goblin Games Won</t>
  </si>
  <si>
    <t xml:space="preserve">Std-Goblin &gt;=4  OR  L10&gt;=8 + (lefty | L5 2nd-won &gt;=45.7)  --&gt;  then SIT player-better-50+</t>
  </si>
  <si>
    <t xml:space="preserve">Goblin Total Games</t>
  </si>
  <si>
    <t xml:space="preserve">L5&gt;=4 + L10&gt;=8  OR  L10&gt;=8 + lefty</t>
  </si>
  <si>
    <t xml:space="preserve">Standard OVER Games Won</t>
  </si>
  <si>
    <t xml:space="preserve">L10&gt;=8 + (L5 gap &gt;=5 | 2nd-won &gt;=45.7)</t>
  </si>
  <si>
    <t xml:space="preserve">Everything else</t>
  </si>
  <si>
    <t xml:space="preserve">Assess/observe only. Aces &amp; Double Faults faded on both sides, both books, post-backfill.</t>
  </si>
  <si>
    <t xml:space="preserve">These four rules match the gate labels already verified against tennis_keep_gates_rank_stack.json and tennis_all_props_rank_stack.json in the Rank Stack (Sep 25) tab -- the player-better-50+ sit is the shipped fade confirmed there.</t>
  </si>
  <si>
    <t xml:space="preserve">Tennis Prop Cells — Tracked Stats</t>
  </si>
  <si>
    <t xml:space="preserve">Worst -&gt; best, best n&gt;=40 window, 2026-02-19 to 2026-08-30. Hit rate = share of time the OVER side hit (or as labeled).</t>
  </si>
  <si>
    <t xml:space="preserve">Rank</t>
  </si>
  <si>
    <t xml:space="preserve">Side</t>
  </si>
  <si>
    <t xml:space="preserve">Best Hit Rate</t>
  </si>
  <si>
    <t xml:space="preserve">Window/Gate</t>
  </si>
  <si>
    <t xml:space="preserve">In Rotation?</t>
  </si>
  <si>
    <t xml:space="preserve">Notes</t>
  </si>
  <si>
    <t xml:space="preserve">Demon</t>
  </si>
  <si>
    <t xml:space="preserve">OVER</t>
  </si>
  <si>
    <t xml:space="preserve">D</t>
  </si>
  <si>
    <t xml:space="preserve">No (Demons excluded)</t>
  </si>
  <si>
    <t xml:space="preserve">ungated</t>
  </si>
  <si>
    <t xml:space="preserve">Standard</t>
  </si>
  <si>
    <t xml:space="preserve">No — fade</t>
  </si>
  <si>
    <t xml:space="preserve">One-sided book; no gate rescues it</t>
  </si>
  <si>
    <t xml:space="preserve">Tie Breaks</t>
  </si>
  <si>
    <t xml:space="preserve">Goblin</t>
  </si>
  <si>
    <t xml:space="preserve">Catalog best; joined step8 cuts all thin (n&lt;=12)</t>
  </si>
  <si>
    <t xml:space="preserve">L5&gt;=4</t>
  </si>
  <si>
    <t xml:space="preserve">No</t>
  </si>
  <si>
    <t xml:space="preserve">Total Sets</t>
  </si>
  <si>
    <t xml:space="preserve">UNDER</t>
  </si>
  <si>
    <t xml:space="preserve">Thin variant only</t>
  </si>
  <si>
    <t xml:space="preserve">Catalog L10&gt;=8 alone is 54.8%; live keep uses thin L10&gt;=8+L5gap&gt;=5 cut, 75% n=16</t>
  </si>
  <si>
    <t xml:space="preserve">Yes</t>
  </si>
  <si>
    <t xml:space="preserve">Live keep refined to Std-Goblin diff &gt;=4, ~83%</t>
  </si>
  <si>
    <t xml:space="preserve">Live keep refined to L5&gt;=4 + L10&gt;=8, ~78.7%</t>
  </si>
  <si>
    <t xml:space="preserve">Source: figures as pasted by user from their own tracking / prior session output; not independently re-derived from raw graded picks in this workspace.</t>
  </si>
  <si>
    <t xml:space="preserve">Aces — Gate Exploration</t>
  </si>
  <si>
    <t xml:space="preserve">Standard UNDER Aces (already the keep)</t>
  </si>
  <si>
    <t xml:space="preserve">Hit Rate</t>
  </si>
  <si>
    <t xml:space="preserve">Ungated (current keep)</t>
  </si>
  <si>
    <t xml:space="preserve">Goblin OVER Aces (no real keep found)</t>
  </si>
  <si>
    <t xml:space="preserve">Catalog best: D</t>
  </si>
  <si>
    <t xml:space="preserve">L5&gt;=4 + L5 gap&gt;=2</t>
  </si>
  <si>
    <t xml:space="preserve">L10&gt;=8 + gap&gt;=2</t>
  </si>
  <si>
    <t xml:space="preserve">L5=5</t>
  </si>
  <si>
    <t xml:space="preserve">Std discount &gt;=4</t>
  </si>
  <si>
    <t xml:space="preserve">almost empty</t>
  </si>
  <si>
    <t xml:space="preserve">Standard OVER Aces (fade)</t>
  </si>
  <si>
    <t xml:space="preserve">Ungated</t>
  </si>
  <si>
    <t xml:space="preserve">Caution: several of these cells (n=8-16) are the single best-looking cut among many candidate gates tried on the same data. With that many combinations tested, some will look strong by chance alone (data dredging) — treat any n&lt;30 cell here as unconfirmed until it repeats on new, out-of-sample dates.</t>
  </si>
  <si>
    <t xml:space="preserve">Tennis Board — VERIFIED from source file</t>
  </si>
  <si>
    <t xml:space="preserve">Read directly by Claude via the device bridge from H:\PropORACLE\data\reports\tennis_board_category_hit_rates.json (generated_at 2026-09-15T17:13:00.065675+00:00, window 2026-02-19 to 2026-09-14). Not a transcription of pasted chat text.</t>
  </si>
  <si>
    <t xml:space="preserve">Category</t>
  </si>
  <si>
    <t xml:space="preserve">N (decided)</t>
  </si>
  <si>
    <t xml:space="preserve">Void</t>
  </si>
  <si>
    <t xml:space="preserve">Demon OVER</t>
  </si>
  <si>
    <t xml:space="preserve">Total Games Won</t>
  </si>
  <si>
    <t xml:space="preserve">Fantasy Score</t>
  </si>
  <si>
    <t xml:space="preserve">Break Points Won</t>
  </si>
  <si>
    <t xml:space="preserve">No decided rows at all</t>
  </si>
  <si>
    <t xml:space="preserve">Total Tie Breaks</t>
  </si>
  <si>
    <t xml:space="preserve">1st Set Total Games</t>
  </si>
  <si>
    <t xml:space="preserve">1st Set Total Games Won</t>
  </si>
  <si>
    <t xml:space="preserve">1st Set Aces</t>
  </si>
  <si>
    <t xml:space="preserve">Two small drifts vs. the earlier pasted board strip (immaterial, noted for completeness):</t>
  </si>
  <si>
    <t xml:space="preserve">- Aces / Goblin OVER: pasted 14.5% / n=3018 -&gt; source file has 14.6% / n=2991 (hits=438).</t>
  </si>
  <si>
    <t xml:space="preserve">- Aces / Demon OVER and Double Faults / Demon OVER were pasted as one combined '~5.5%, 5-6k' row -&gt; source file has them separately: Aces 5.6% n=5197, Double Faults 5.5% n=6683.</t>
  </si>
  <si>
    <t xml:space="preserve">Gated / Keep Paths — VERIFIED from source file</t>
  </si>
  <si>
    <t xml:space="preserve">Every row below has real hits/n straight from the JSON's keep_paths arrays.</t>
  </si>
  <si>
    <t xml:space="preserve">Path</t>
  </si>
  <si>
    <t xml:space="preserve">Goblin OVER L5≥4 + L10≥8</t>
  </si>
  <si>
    <t xml:space="preserve">KEEP path</t>
  </si>
  <si>
    <t xml:space="preserve">Goblin OVER L10≥8 + vs lefty</t>
  </si>
  <si>
    <t xml:space="preserve">Goblin OVER (L5≥4+L10≥8)|lefty union</t>
  </si>
  <si>
    <t xml:space="preserve">KEEP</t>
  </si>
  <si>
    <t xml:space="preserve">Goblin OVER tennis_goblin_keep_eligible()</t>
  </si>
  <si>
    <t xml:space="preserve">KEEP live fn</t>
  </si>
  <si>
    <t xml:space="preserve">Goblin OVER Std−Goblin≥4</t>
  </si>
  <si>
    <t xml:space="preserve">  note: standard_line often missing on graded_props</t>
  </si>
  <si>
    <t xml:space="preserve">Goblin OVER L10≥8 + L5 2nd-won%≥45.7</t>
  </si>
  <si>
    <t xml:space="preserve">Goblin OVER L10≥8+(lefty|2nd-won) union</t>
  </si>
  <si>
    <t xml:space="preserve">Std OVER L10≥8 + 2nd-won keep</t>
  </si>
  <si>
    <t xml:space="preserve">KEEP thin</t>
  </si>
  <si>
    <t xml:space="preserve">Std OVER tennis_standard_games_won_over_eligible()</t>
  </si>
  <si>
    <t xml:space="preserve">Std UNDER ungated</t>
  </si>
  <si>
    <t xml:space="preserve">Std−Goblin≥4 keep rate 83.1% n=331 is from a separate Standard-Line catalog join; graded_props often lack standard_line so that path undercounts here.</t>
  </si>
  <si>
    <t xml:space="preserve">Wilson 95% CIs — VERIFIED from tennis_next_cuts.json</t>
  </si>
  <si>
    <t xml:space="preserve">Read directly from H:\PropORACLE\data\reports\tennis_next_cuts.json (generated_at 2026-09-15T17:37:22.420806+00:00). Every Wilson interval below was independently recomputed in Python and matched the file exactly (checked 2026-09-15).</t>
  </si>
  <si>
    <t xml:space="preserve">Keep / key cells</t>
  </si>
  <si>
    <t xml:space="preserve">Label</t>
  </si>
  <si>
    <t xml:space="preserve">95% CI Low</t>
  </si>
  <si>
    <t xml:space="preserve">95% CI High</t>
  </si>
  <si>
    <t xml:space="preserve">Goblin GW L10≥8 + 2nd-won≥45.7</t>
  </si>
  <si>
    <t xml:space="preserve">Goblin GW L10≥8+(lefty|2nd-won) union</t>
  </si>
  <si>
    <t xml:space="preserve">Goblin GW L10≥8 + lefty</t>
  </si>
  <si>
    <t xml:space="preserve">Goblin TG (L5≥4+L10≥8)|lefty union</t>
  </si>
  <si>
    <t xml:space="preserve">Goblin TG L10≥8 + lefty</t>
  </si>
  <si>
    <t xml:space="preserve">Goblin TG L5≥4 + L10≥8</t>
  </si>
  <si>
    <t xml:space="preserve">Std UNDER Aces ungated</t>
  </si>
  <si>
    <t xml:space="preserve">Std UNDER Double Faults ungated</t>
  </si>
  <si>
    <t xml:space="preserve">Std OVER Aces pooled (contaminated)</t>
  </si>
  <si>
    <t xml:space="preserve">Std OVER Aces clean (excl blank/main_cp)</t>
  </si>
  <si>
    <t xml:space="preserve">Std UNDER Aces — window search (does L10=10 help?)</t>
  </si>
  <si>
    <t xml:space="preserve">Std UNDER Aces · ungated</t>
  </si>
  <si>
    <t xml:space="preserve">Std UNDER Aces · L5≥4</t>
  </si>
  <si>
    <t xml:space="preserve">Std UNDER Aces · L5=5</t>
  </si>
  <si>
    <t xml:space="preserve">Std UNDER Aces · L10≥8</t>
  </si>
  <si>
    <t xml:space="preserve">Std UNDER Aces · L10=10</t>
  </si>
  <si>
    <t xml:space="preserve">Std UNDER Aces · L10≥9</t>
  </si>
  <si>
    <t xml:space="preserve">Std UNDER Aces · L5≥4+L10≥8</t>
  </si>
  <si>
    <t xml:space="preserve">Std UNDER Aces · L5≥4+L10=10</t>
  </si>
  <si>
    <t xml:space="preserve">Std UNDER Double Faults — window search</t>
  </si>
  <si>
    <t xml:space="preserve">Std UNDER DF · ungated</t>
  </si>
  <si>
    <t xml:space="preserve">Std UNDER DF · L5≥4</t>
  </si>
  <si>
    <t xml:space="preserve">Std UNDER DF · L5=5</t>
  </si>
  <si>
    <t xml:space="preserve">Std UNDER DF · L10≥8</t>
  </si>
  <si>
    <t xml:space="preserve">Std UNDER DF · L10=10</t>
  </si>
  <si>
    <t xml:space="preserve">Std UNDER DF · L10≥9</t>
  </si>
  <si>
    <t xml:space="preserve">Std UNDER DF · L5≥4+L10≥8</t>
  </si>
  <si>
    <t xml:space="preserve">Std UNDER DF · L5≥4+L10=10</t>
  </si>
  <si>
    <t xml:space="preserve">Std OVER Aces — re-backfill proxy</t>
  </si>
  <si>
    <t xml:space="preserve">pooled</t>
  </si>
  <si>
    <t xml:space="preserve">contaminated</t>
  </si>
  <si>
    <t xml:space="preserve">clean</t>
  </si>
  <si>
    <t xml:space="preserve">Takeaways (from the file):</t>
  </si>
  <si>
    <t xml:space="preserve">- GW 2nd-won keep: 83.6% n=444 CI [79.8, 86.7]%</t>
  </si>
  <si>
    <t xml:space="preserve">- Std UNDER Aces ungated stays best; L10=10 n=8 hit=75.0% vs ungated 90.6%</t>
  </si>
  <si>
    <t xml:space="preserve">- Std UNDER DF L10=10 n=1 hit=100.0% vs ungated 90.0%</t>
  </si>
  <si>
    <t xml:space="preserve">- Std OVER Aces clean proxy 32.1% n=449 (not a live re-backfill)</t>
  </si>
  <si>
    <t xml:space="preserve">Read: n=444/501 stay above ~80% even at the lower CI bound -- solid. TG L5&gt;=4+L10&gt;=8 dips to 66.9% at the floor (n=61) -- treat as thinner. L10=10 does not help Std UNDER Aces (75.0%, n=8, CI [40.9,92.9] -- wide and centered below the 90.6% ungated keep) or DF (n=1, uninformative). Std OVER Aces stays a fade even on the clean proxy (32.1%, CI [27.9,36.5], nowhere near keep territory).</t>
  </si>
  <si>
    <t xml:space="preserve">Does the Gate/Window Itself Predict a Higher Hit Rate?</t>
  </si>
  <si>
    <t xml:space="preserve">Aggregated from the 'Tracked Cells' sheet (Standard + Goblin rows only — Demons excluded, since those are never bet).</t>
  </si>
  <si>
    <t xml:space="preserve"># Cells</t>
  </si>
  <si>
    <t xml:space="preserve">Total N</t>
  </si>
  <si>
    <t xml:space="preserve">Unweighted Avg Hit Rate</t>
  </si>
  <si>
    <t xml:space="preserve">N-Weighted Avg Hit Rate</t>
  </si>
  <si>
    <t xml:space="preserve">Hit Rate Range</t>
  </si>
  <si>
    <t xml:space="preserve">see Tracked Cells for individual rows</t>
  </si>
  <si>
    <t xml:space="preserve">Reading this table:</t>
  </si>
  <si>
    <t xml:space="preserve">- L10=10 (exactly 10-for-10 in the last 10) is the standout — but it has only been tried on 2 props so far (Goblin Games Won, Goblin Total Games), both already-discounted Goblin lines.</t>
  </si>
  <si>
    <t xml:space="preserve">- L10&gt;=8 (a softer version of the same idea) barely lifts anything — mid-50s regardless of prop.</t>
  </si>
  <si>
    <t xml:space="preserve">- 'D' and plain 'ungated' swing from ~30% to ~91% depending entirely on WHICH prop/side it's attached to — the gate isn't doing the work there, the prop selection is.</t>
  </si>
  <si>
    <t xml:space="preserve">- Next test worth running: apply L10=10 (not just L5&gt;=4/L10&gt;=8) to Standard UNDER Aces and Standard UNDER Double Faults, since those are currently kept ungated and untested against the one gate that has shown a real lift elsewhere.</t>
  </si>
  <si>
    <t xml:space="preserve">- Every cell above with N &lt; 30 (see Aces Deep Dive) should be treated as a hypothesis, not a result, until it's checked on dates this workbook hasn't seen yet.</t>
  </si>
  <si>
    <t xml:space="preserve">Cross-Paste Consistency Check</t>
  </si>
  <si>
    <t xml:space="preserve">Category/Book</t>
  </si>
  <si>
    <t xml:space="preserve">Earlier paste</t>
  </si>
  <si>
    <t xml:space="preserve">This paste</t>
  </si>
  <si>
    <t xml:space="preserve">Implied hit-count math</t>
  </si>
  <si>
    <t xml:space="preserve">Read</t>
  </si>
  <si>
    <t xml:space="preserve">29.6% ungated, n=541 -&gt; ~160 hits</t>
  </si>
  <si>
    <t xml:space="preserve">24.4% ungated, n=591 -&gt; ~144 hits</t>
  </si>
  <si>
    <t xml:space="preserve">n rose by 50 but implied hit count FELL by ~16. If the second table is a superset of the first (more dates graded), hit count can only stay flat or rise, never fall.</t>
  </si>
  <si>
    <t xml:space="preserve">Contradiction — these two summaries are not simply the same running total updated with more data. Likely different denominators/definitions, or one paste is stale/mislabeled.</t>
  </si>
  <si>
    <t xml:space="preserve">Demon OVER Total Games</t>
  </si>
  <si>
    <t xml:space="preserve">34.2% ungated, n=3407</t>
  </si>
  <si>
    <t xml:space="preserve">32.5% ungated, n=4083</t>
  </si>
  <si>
    <t xml:space="preserve">n rose by 676; hit rate drifted down ~1.7pp — arithmetically possible if the ~676 new rows hit at a lower rate than the existing base.</t>
  </si>
  <si>
    <t xml:space="preserve">Not a contradiction, just note the underlying pool keeps changing between pastes.</t>
  </si>
  <si>
    <t xml:space="preserve">Goblin OVER Aces, best gated</t>
  </si>
  <si>
    <t xml:space="preserve">"D" gate, 34.9%, n=261</t>
  </si>
  <si>
    <t xml:space="preserve">"L5&gt;=4" gate, 35%, n=26</t>
  </si>
  <si>
    <t xml:space="preserve">Same rounded hit rate, ~10x smaller n, different gate label.</t>
  </si>
  <si>
    <t xml:space="preserve">Can't reconcile from the summary numbers alone — could be two distinct real cuts that happen to land close, or a relabeling. Treat the n=26 version as unconfirmed either way.</t>
  </si>
  <si>
    <t xml:space="preserve">Takeaway: treat every pasted table as a snapshot from whatever produced it, not as updates to a single running ledger. Before trusting a KEEP/fade call that changed between snapshots, it's worth re-pulling both numbers from the same query at the same time.</t>
  </si>
  <si>
    <t xml:space="preserve">Update 2026-09-15 (later same day): user reports contradiction resolved</t>
  </si>
  <si>
    <t xml:space="preserve">Point</t>
  </si>
  <si>
    <t xml:space="preserve">Detail</t>
  </si>
  <si>
    <t xml:space="preserve">Explanation given</t>
  </si>
  <si>
    <t xml:space="preserve">Not a running total. Older 29.6%/541 was a healthier window; canonical pooled scan is 24.5%/587. Gap traced to: blank actual_source (0/138), main_cp Aces slice (0/138), slates &gt;= 2026-08-15 (0/119); Sackmann/TA-sourced rows still run 31-33%.</t>
  </si>
  <si>
    <t xml:space="preserve">Recommended number going forward</t>
  </si>
  <si>
    <t xml:space="preserve">24.5% n=587, pooled. Treat recent Aces OVER grades as contaminated until re-backfilled.</t>
  </si>
  <si>
    <t xml:space="preserve">Still unverified from here</t>
  </si>
  <si>
    <t xml:space="preserve">This workspace still has no data/reports/ directory, no scripts/ directory matching what's described, and no graded_props file — checked again this turn. Nothing to independently re-run the join against.</t>
  </si>
  <si>
    <t xml:space="preserve">Worth a second look on your end</t>
  </si>
  <si>
    <t xml:space="preserve">The 0/138 count appears twice (blank actual_source AND main_cp Aces slice) — worth confirming those are actually two different 138-row slices and not the same rows double-labeled, since that would change how much independent evidence they really provide for 'contamination'.</t>
  </si>
  <si>
    <t xml:space="preserve">standard_line gap</t>
  </si>
  <si>
    <t xml:space="preserve">Std-Goblin&gt;=4 catalog cut (83.1% n=331) reportedly lives in a separate join because graded_props usually lacks standard_line -- so it shows n=0 here. That's a join/coverage issue, not a result to weigh against the numbers on this board.</t>
  </si>
  <si>
    <t xml:space="preserve">Verification Log</t>
  </si>
  <si>
    <t xml:space="preserve">What changed this round</t>
  </si>
  <si>
    <t xml:space="preserve">Claude requested and was granted access to H:\PropORACLE on the user's own computer, then staged and read data/reports/tennis_board_category_hit_rates.json directly. Everything in the 'Board Strip' and 'Gated Paths' tabs now comes from that file's actual bytes, not from re-typing numbers out of the chat.</t>
  </si>
  <si>
    <t xml:space="preserve">File identity</t>
  </si>
  <si>
    <t xml:space="preserve">H:\PropORACLE\data\reports\tennis_board_category_hit_rates.json, generated_at=2026-09-15T17:13:00.065675+00:00, produced by scripts/tennis_board_category_hit_rates.py.</t>
  </si>
  <si>
    <t xml:space="preserve">Pipeline scope</t>
  </si>
  <si>
    <t xml:space="preserve">Window 2026-02-19 to 2026-09-14; 204 source files; 65611 total legs across all sports, 41178 decided, 24433 void. Dedupe key: slate|player|prop|book|line|result|pp_projection_id, main_cp file wins ties.</t>
  </si>
  <si>
    <t xml:space="preserve">Contamination finding, confirmed</t>
  </si>
  <si>
    <t xml:space="preserve">blank actual_source and the main_cp Aces slice are the identical 142 rows (100% overlap), not two separate problems; slate&gt;=2026-08-15 (n=123) is a subset of that same batch. Clean pre-08-15, sourced rows: 32.1% on n=449. This matches what was reported in chat, read here directly from consistency_notes.contamination_overlap in the file.</t>
  </si>
  <si>
    <t xml:space="preserve">Everything before this message</t>
  </si>
  <si>
    <t xml:space="preserve">Was working from pasted text only — reasonable to use, but unverifiable from this workspace. Treat the 'Tracked Cells' and 'Aces Deep Dive' tabs (built earlier) as historical pasted snapshots, and 'Board Strip' / 'Gated Paths' as the current, source-verified numbers.</t>
  </si>
  <si>
    <t xml:space="preserve">Third file verified</t>
  </si>
  <si>
    <t xml:space="preserve">H:\PropORACLE\data\reports\tennis_next_cuts.json (generated_at 2026-09-15T17:37:22.420806+00:00). All 11 Wilson 95% CIs independently recomputed in Python and matched the file's ci95_lo/ci95_hi to one decimal place -- not just read and trusted.</t>
  </si>
  <si>
    <t xml:space="preserve">CORRECTION: Std UNDER Aces/DF reversed</t>
  </si>
  <si>
    <t xml:space="preserve">H:\PropORACLE\data\reports\tennis_serve_backfill_under_inflation.json (generated_at 2026-09-15T18:30:00+00:00). Missing serve actuals were historically coerced to 0, which always graded as a MISS for OVER and always as a HIT for UNDER -- an asymmetric bug, not a real edge. Post-backfill: Std UNDER Aces 57.4% n=54 CI[44.2,69.7], Std UNDER DF 28.6% n=28 CI[15.3,47.1] -- both now FADE. Independently re-verified: hit counts solved from n x hit%, Wilson CIs recomputed, matched exactly. See 'CORRECTION (read first)' tab.</t>
  </si>
  <si>
    <t xml:space="preserve">2026-09-25</t>
  </si>
  <si>
    <t xml:space="preserve">SHIPPED: player-better-50+ fade wired into utils/tennis_keep_gates.py for Goblin Games Won keep gates (union + L10≥8+2nd-won). Before/after independently recomputed from tennis_all_props_rank_stack.json rank_stacks and matched the user's report exactly: 81.7%→83.2% (n525→500) and 82.5%→84.2% (n468→443), dropped band 52.0% (13/25). Total Games gate left unchanged per report.</t>
  </si>
  <si>
    <t xml:space="preserve">2026-10-14</t>
  </si>
  <si>
    <t xml:space="preserve">Read tennis_rank_by_prop_step8_join.json directly (8,179 matched / 6,936 unmatched legs). All 20 offense/defense partitions independently re-summed and matched their base exactly. Every figure in the pasted offense/defense report checked out: Games Won Goblin OVER opponent bands (81.2/77.7/73.3/66.0/73.0), Total Games Goblin OVER opponent bands, both rank-gap tables, all four player cells (Tsitsipas 53/60, Swiatek 73/120, Botic/Bergs 64/82), and the Standard book bands. One correction: the Total Games/Goblin/OVER vs-Elite bucket is n=30 hits=15 (50.0%), not "under 15 rows" as first described -- it was omitted from a chart filtered to n&gt;=60, the join itself always had the 30 legs.</t>
  </si>
  <si>
    <t xml:space="preserve">2026-10-23</t>
  </si>
  <si>
    <t xml:space="preserve">Read tennis_factor_hit_rate_lift.json directly (generated 2026-09-15, 18,467 legs). All 29 factor-availability rows and all 14 book x prop baselines matched the pasted inventory. One completeness gap found: the "Rally" family (fully unavailable) was omitted from the pasted 10-category list in favor of "Recency," which isn't a file-tracked family -- no actionable impact. Flagged that this file's Standard UNDER aces/DF baselines (90.6%/90.0%) are stale pre-backfill numbers; post-backfill figures remain on the CORRECTION tab. Added a new "Factor &amp; Gate Inventory" sheet with the full availability table, board/prediction grading table, and the four live gating rules cross-referenced to the already-verified Rank Stack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</si>
</sst>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392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565C0"/>
        <bgColor rgb="FF4472C4"/>
      </patternFill>
    </fill>
    <fill>
      <patternFill patternType="solid">
        <fgColor rgb="FF2E7D32"/>
        <bgColor rgb="FF008080"/>
      </patternFill>
    </fill>
    <fill>
      <patternFill patternType="solid">
        <fgColor rgb="FF4472C4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8860B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5"/>
      <c r="B6" s="5"/>
      <c r="C6" s="5"/>
      <c r="D6" s="5"/>
      <c r="E6" s="5"/>
      <c r="F6" s="5"/>
    </row>
    <row r="7" customFormat="false" ht="30" hidden="false" customHeight="true" outlineLevel="0" collapsed="false">
      <c r="A7" s="6" t="s">
        <v>4</v>
      </c>
      <c r="B7" s="5" t="s">
        <v>5</v>
      </c>
      <c r="C7" s="5"/>
      <c r="D7" s="5"/>
      <c r="E7" s="5"/>
      <c r="F7" s="5"/>
    </row>
    <row r="8" customFormat="false" ht="30" hidden="false" customHeight="true" outlineLevel="0" collapsed="false">
      <c r="A8" s="6" t="s">
        <v>6</v>
      </c>
      <c r="B8" s="5" t="s">
        <v>7</v>
      </c>
      <c r="C8" s="5"/>
      <c r="D8" s="5"/>
      <c r="E8" s="5"/>
      <c r="F8" s="5"/>
    </row>
    <row r="10" customFormat="false" ht="15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</row>
    <row r="12" customFormat="false" ht="15" hidden="false" customHeight="true" outlineLevel="0" collapsed="false">
      <c r="A12" s="8" t="s">
        <v>15</v>
      </c>
      <c r="B12" s="9" t="s">
        <v>16</v>
      </c>
      <c r="C12" s="8" t="n">
        <v>54</v>
      </c>
      <c r="D12" s="10" t="n">
        <v>0.574</v>
      </c>
      <c r="E12" s="8" t="s">
        <v>17</v>
      </c>
      <c r="F12" s="8" t="s">
        <v>18</v>
      </c>
    </row>
    <row r="13" customFormat="false" ht="15" hidden="false" customHeight="true" outlineLevel="0" collapsed="false">
      <c r="A13" s="8" t="s">
        <v>19</v>
      </c>
      <c r="B13" s="9" t="s">
        <v>20</v>
      </c>
      <c r="C13" s="8" t="n">
        <v>28</v>
      </c>
      <c r="D13" s="10" t="n">
        <v>0.286</v>
      </c>
      <c r="E13" s="8" t="s">
        <v>21</v>
      </c>
      <c r="F13" s="8" t="s">
        <v>18</v>
      </c>
    </row>
    <row r="14" customFormat="false" ht="15" hidden="false" customHeight="true" outlineLevel="0" collapsed="false">
      <c r="A14" s="8" t="s">
        <v>22</v>
      </c>
      <c r="B14" s="9" t="s">
        <v>23</v>
      </c>
      <c r="C14" s="8" t="n">
        <v>473</v>
      </c>
      <c r="D14" s="10" t="n">
        <v>0.323</v>
      </c>
      <c r="E14" s="8" t="s">
        <v>24</v>
      </c>
      <c r="F14" s="8" t="s">
        <v>25</v>
      </c>
    </row>
    <row r="15" customFormat="false" ht="15" hidden="false" customHeight="true" outlineLevel="0" collapsed="false">
      <c r="A15" s="8" t="s">
        <v>26</v>
      </c>
      <c r="B15" s="9" t="s">
        <v>27</v>
      </c>
      <c r="C15" s="8" t="n">
        <v>523</v>
      </c>
      <c r="D15" s="10" t="n">
        <v>0.386</v>
      </c>
      <c r="E15" s="8" t="s">
        <v>28</v>
      </c>
      <c r="F15" s="8" t="s">
        <v>25</v>
      </c>
    </row>
    <row r="17" customFormat="false" ht="15" hidden="false" customHeight="true" outlineLevel="0" collapsed="false">
      <c r="A17" s="4" t="s">
        <v>29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A18" s="5" t="s">
        <v>30</v>
      </c>
      <c r="B18" s="5"/>
      <c r="C18" s="5"/>
      <c r="D18" s="5"/>
      <c r="E18" s="5"/>
      <c r="F18" s="5"/>
    </row>
    <row r="20" customFormat="false" ht="15" hidden="false" customHeight="true" outlineLevel="0" collapsed="false">
      <c r="A20" s="4" t="s">
        <v>31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11" t="s">
        <v>32</v>
      </c>
      <c r="B21" s="11"/>
      <c r="C21" s="11"/>
      <c r="D21" s="11"/>
      <c r="E21" s="11"/>
      <c r="F21" s="11"/>
    </row>
    <row r="22" customFormat="false" ht="15" hidden="false" customHeight="true" outlineLevel="0" collapsed="false">
      <c r="A22" s="11" t="s">
        <v>33</v>
      </c>
      <c r="B22" s="11"/>
      <c r="C22" s="11"/>
      <c r="D22" s="11"/>
      <c r="E22" s="11"/>
      <c r="F22" s="11"/>
    </row>
    <row r="23" customFormat="false" ht="15" hidden="false" customHeight="true" outlineLevel="0" collapsed="false">
      <c r="A23" s="11" t="s">
        <v>34</v>
      </c>
      <c r="B23" s="11"/>
      <c r="C23" s="11"/>
      <c r="D23" s="11"/>
      <c r="E23" s="11"/>
      <c r="F23" s="11"/>
    </row>
    <row r="25" customFormat="false" ht="15" hidden="false" customHeight="true" outlineLevel="0" collapsed="false">
      <c r="A25" s="12" t="s">
        <v>35</v>
      </c>
      <c r="B25" s="12"/>
      <c r="C25" s="12"/>
      <c r="D25" s="12"/>
      <c r="E25" s="12"/>
      <c r="F25" s="12"/>
    </row>
    <row r="26" customFormat="false" ht="15" hidden="false" customHeight="true" outlineLevel="0" collapsed="false">
      <c r="A26" s="12" t="s">
        <v>36</v>
      </c>
      <c r="B26" s="12"/>
      <c r="C26" s="12"/>
      <c r="D26" s="12"/>
      <c r="E26" s="12"/>
      <c r="F26" s="12"/>
    </row>
  </sheetData>
  <mergeCells count="15">
    <mergeCell ref="A1:F1"/>
    <mergeCell ref="A2:F2"/>
    <mergeCell ref="A4:F4"/>
    <mergeCell ref="A5:F6"/>
    <mergeCell ref="B7:F7"/>
    <mergeCell ref="B8:F8"/>
    <mergeCell ref="A10:F10"/>
    <mergeCell ref="A17:F17"/>
    <mergeCell ref="A18:F18"/>
    <mergeCell ref="A20:F20"/>
    <mergeCell ref="A21:F21"/>
    <mergeCell ref="A22:F22"/>
    <mergeCell ref="A23:F23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13" t="s">
        <v>37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3" t="s">
        <v>38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43</v>
      </c>
      <c r="F4" s="14" t="s">
        <v>44</v>
      </c>
      <c r="G4" s="14" t="s">
        <v>45</v>
      </c>
    </row>
    <row r="5" customFormat="false" ht="15" hidden="false" customHeight="true" outlineLevel="0" collapsed="false">
      <c r="A5" s="15" t="s">
        <v>46</v>
      </c>
      <c r="B5" s="15" t="s">
        <v>47</v>
      </c>
      <c r="C5" s="15" t="s">
        <v>48</v>
      </c>
      <c r="D5" s="16" t="n">
        <v>0.836</v>
      </c>
      <c r="E5" s="15" t="s">
        <v>49</v>
      </c>
      <c r="F5" s="15" t="n">
        <v>444</v>
      </c>
      <c r="G5" s="9" t="s">
        <v>50</v>
      </c>
    </row>
    <row r="6" customFormat="false" ht="15" hidden="false" customHeight="true" outlineLevel="0" collapsed="false">
      <c r="A6" s="15" t="s">
        <v>46</v>
      </c>
      <c r="B6" s="15" t="s">
        <v>47</v>
      </c>
      <c r="C6" s="15" t="s">
        <v>51</v>
      </c>
      <c r="D6" s="16" t="n">
        <v>0.863</v>
      </c>
      <c r="E6" s="15" t="s">
        <v>52</v>
      </c>
      <c r="F6" s="15" t="n">
        <v>102</v>
      </c>
      <c r="G6" s="9" t="s">
        <v>50</v>
      </c>
    </row>
    <row r="7" customFormat="false" ht="15" hidden="false" customHeight="true" outlineLevel="0" collapsed="false">
      <c r="A7" s="15" t="s">
        <v>46</v>
      </c>
      <c r="B7" s="15" t="s">
        <v>47</v>
      </c>
      <c r="C7" s="15" t="s">
        <v>53</v>
      </c>
      <c r="D7" s="16" t="n">
        <v>0.826</v>
      </c>
      <c r="E7" s="15" t="s">
        <v>54</v>
      </c>
      <c r="F7" s="15" t="n">
        <v>501</v>
      </c>
      <c r="G7" s="9" t="s">
        <v>50</v>
      </c>
    </row>
    <row r="8" customFormat="false" ht="15" hidden="false" customHeight="true" outlineLevel="0" collapsed="false">
      <c r="A8" s="15" t="s">
        <v>46</v>
      </c>
      <c r="B8" s="15" t="s">
        <v>47</v>
      </c>
      <c r="C8" s="15" t="s">
        <v>55</v>
      </c>
      <c r="D8" s="16" t="n">
        <v>0.831</v>
      </c>
      <c r="E8" s="15" t="s">
        <v>56</v>
      </c>
      <c r="F8" s="15" t="n">
        <v>331</v>
      </c>
      <c r="G8" s="9" t="s">
        <v>57</v>
      </c>
    </row>
    <row r="9" customFormat="false" ht="15" hidden="false" customHeight="true" outlineLevel="0" collapsed="false">
      <c r="A9" s="15" t="s">
        <v>58</v>
      </c>
      <c r="B9" s="15" t="s">
        <v>47</v>
      </c>
      <c r="C9" s="15" t="s">
        <v>59</v>
      </c>
      <c r="D9" s="16" t="n">
        <v>0.787</v>
      </c>
      <c r="E9" s="15" t="s">
        <v>60</v>
      </c>
      <c r="F9" s="15" t="n">
        <v>61</v>
      </c>
      <c r="G9" s="9" t="s">
        <v>50</v>
      </c>
    </row>
    <row r="10" customFormat="false" ht="15" hidden="false" customHeight="true" outlineLevel="0" collapsed="false">
      <c r="A10" s="15" t="s">
        <v>58</v>
      </c>
      <c r="B10" s="15" t="s">
        <v>47</v>
      </c>
      <c r="C10" s="15" t="s">
        <v>61</v>
      </c>
      <c r="D10" s="16" t="n">
        <v>0.8</v>
      </c>
      <c r="E10" s="15" t="s">
        <v>62</v>
      </c>
      <c r="F10" s="15" t="n">
        <v>85</v>
      </c>
      <c r="G10" s="9" t="s">
        <v>50</v>
      </c>
    </row>
    <row r="11" customFormat="false" ht="15" hidden="false" customHeight="true" outlineLevel="0" collapsed="false">
      <c r="A11" s="15" t="s">
        <v>58</v>
      </c>
      <c r="B11" s="15" t="s">
        <v>47</v>
      </c>
      <c r="C11" s="15" t="s">
        <v>63</v>
      </c>
      <c r="D11" s="16" t="n">
        <v>0.793</v>
      </c>
      <c r="E11" s="15" t="s">
        <v>64</v>
      </c>
      <c r="F11" s="15" t="n">
        <v>135</v>
      </c>
      <c r="G11" s="9" t="s">
        <v>50</v>
      </c>
    </row>
    <row r="12" customFormat="false" ht="15" hidden="false" customHeight="true" outlineLevel="0" collapsed="false">
      <c r="A12" s="15" t="s">
        <v>46</v>
      </c>
      <c r="B12" s="15" t="s">
        <v>65</v>
      </c>
      <c r="C12" s="15" t="s">
        <v>66</v>
      </c>
      <c r="D12" s="16" t="n">
        <v>0.75</v>
      </c>
      <c r="E12" s="15" t="s">
        <v>56</v>
      </c>
      <c r="F12" s="15" t="n">
        <v>40</v>
      </c>
      <c r="G12" s="9" t="s">
        <v>67</v>
      </c>
    </row>
    <row r="14" customFormat="false" ht="15" hidden="false" customHeight="true" outlineLevel="0" collapsed="false">
      <c r="A14" s="4" t="s">
        <v>68</v>
      </c>
      <c r="B14" s="4"/>
      <c r="C14" s="4"/>
      <c r="D14" s="4"/>
      <c r="E14" s="4"/>
      <c r="F14" s="4"/>
      <c r="G14" s="4"/>
    </row>
    <row r="15" customFormat="false" ht="26.25" hidden="false" customHeight="true" outlineLevel="0" collapsed="false">
      <c r="A15" s="14" t="s">
        <v>39</v>
      </c>
      <c r="B15" s="14" t="s">
        <v>47</v>
      </c>
      <c r="C15" s="14" t="s">
        <v>65</v>
      </c>
      <c r="D15" s="14" t="s">
        <v>69</v>
      </c>
      <c r="G15" s="17" t="s">
        <v>45</v>
      </c>
    </row>
    <row r="16" customFormat="false" ht="30" hidden="false" customHeight="true" outlineLevel="0" collapsed="false">
      <c r="A16" s="9" t="s">
        <v>46</v>
      </c>
      <c r="B16" s="18" t="s">
        <v>70</v>
      </c>
      <c r="C16" s="15" t="s">
        <v>71</v>
      </c>
      <c r="D16" s="15" t="s">
        <v>72</v>
      </c>
      <c r="G16" s="19" t="s">
        <v>73</v>
      </c>
    </row>
    <row r="17" customFormat="false" ht="30" hidden="false" customHeight="true" outlineLevel="0" collapsed="false">
      <c r="A17" s="9" t="s">
        <v>58</v>
      </c>
      <c r="B17" s="18" t="s">
        <v>74</v>
      </c>
      <c r="C17" s="15" t="s">
        <v>75</v>
      </c>
      <c r="D17" s="15" t="s">
        <v>76</v>
      </c>
      <c r="G17" s="19" t="s">
        <v>77</v>
      </c>
    </row>
    <row r="18" customFormat="false" ht="30" hidden="false" customHeight="true" outlineLevel="0" collapsed="false">
      <c r="A18" s="9" t="s">
        <v>78</v>
      </c>
      <c r="B18" s="18" t="s">
        <v>79</v>
      </c>
      <c r="C18" s="15" t="s">
        <v>80</v>
      </c>
      <c r="D18" s="15" t="s">
        <v>81</v>
      </c>
      <c r="G18" s="19" t="s">
        <v>82</v>
      </c>
    </row>
    <row r="19" customFormat="false" ht="30" hidden="false" customHeight="true" outlineLevel="0" collapsed="false">
      <c r="A19" s="9" t="s">
        <v>83</v>
      </c>
      <c r="B19" s="18" t="s">
        <v>84</v>
      </c>
      <c r="C19" s="15" t="s">
        <v>85</v>
      </c>
      <c r="D19" s="15" t="s">
        <v>86</v>
      </c>
      <c r="G19" s="19" t="s">
        <v>87</v>
      </c>
    </row>
    <row r="21" customFormat="false" ht="15" hidden="false" customHeight="true" outlineLevel="0" collapsed="false">
      <c r="A21" s="20" t="s">
        <v>88</v>
      </c>
    </row>
    <row r="22" customFormat="false" ht="15" hidden="false" customHeight="true" outlineLevel="0" collapsed="false">
      <c r="A22" s="21" t="s">
        <v>89</v>
      </c>
      <c r="B22" s="21"/>
      <c r="C22" s="21"/>
      <c r="D22" s="21"/>
      <c r="E22" s="21"/>
      <c r="F22" s="21"/>
      <c r="G22" s="21"/>
    </row>
  </sheetData>
  <mergeCells count="4">
    <mergeCell ref="A1:G1"/>
    <mergeCell ref="A2:G2"/>
    <mergeCell ref="A14:G14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5" min="4" style="1" width="18"/>
    <col collapsed="false" customWidth="true" hidden="false" outlineLevel="0" max="6" min="6" style="1" width="24"/>
  </cols>
  <sheetData>
    <row r="1" customFormat="false" ht="15.75" hidden="false" customHeight="true" outlineLevel="0" collapsed="false">
      <c r="A1" s="13" t="s">
        <v>90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3" t="s">
        <v>91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22" t="s">
        <v>39</v>
      </c>
      <c r="B4" s="22" t="s">
        <v>40</v>
      </c>
      <c r="C4" s="22" t="s">
        <v>41</v>
      </c>
      <c r="D4" s="22" t="s">
        <v>42</v>
      </c>
      <c r="E4" s="22" t="s">
        <v>92</v>
      </c>
      <c r="F4" s="22" t="s">
        <v>93</v>
      </c>
    </row>
    <row r="5" customFormat="false" ht="15" hidden="false" customHeight="true" outlineLevel="0" collapsed="false">
      <c r="A5" s="15" t="s">
        <v>94</v>
      </c>
      <c r="B5" s="15" t="s">
        <v>47</v>
      </c>
      <c r="C5" s="15" t="s">
        <v>95</v>
      </c>
      <c r="D5" s="16" t="n">
        <v>0.817</v>
      </c>
      <c r="E5" s="15" t="s">
        <v>96</v>
      </c>
      <c r="F5" s="9" t="s">
        <v>97</v>
      </c>
    </row>
    <row r="6" customFormat="false" ht="15" hidden="false" customHeight="true" outlineLevel="0" collapsed="false">
      <c r="A6" s="15" t="s">
        <v>94</v>
      </c>
      <c r="B6" s="15" t="s">
        <v>47</v>
      </c>
      <c r="C6" s="15" t="s">
        <v>98</v>
      </c>
      <c r="D6" s="16" t="n">
        <v>0.825</v>
      </c>
      <c r="E6" s="15" t="s">
        <v>99</v>
      </c>
      <c r="F6" s="9" t="s">
        <v>97</v>
      </c>
    </row>
    <row r="7" customFormat="false" ht="15" hidden="false" customHeight="true" outlineLevel="0" collapsed="false">
      <c r="A7" s="15" t="s">
        <v>94</v>
      </c>
      <c r="B7" s="15" t="s">
        <v>100</v>
      </c>
      <c r="C7" s="15" t="s">
        <v>101</v>
      </c>
      <c r="D7" s="16" t="n">
        <v>0.738</v>
      </c>
      <c r="E7" s="15" t="s">
        <v>102</v>
      </c>
      <c r="F7" s="9" t="s">
        <v>97</v>
      </c>
    </row>
    <row r="8" customFormat="false" ht="15" hidden="false" customHeight="true" outlineLevel="0" collapsed="false">
      <c r="A8" s="15" t="s">
        <v>103</v>
      </c>
      <c r="B8" s="15" t="s">
        <v>47</v>
      </c>
      <c r="C8" s="15" t="s">
        <v>104</v>
      </c>
      <c r="D8" s="16" t="n">
        <v>0.8</v>
      </c>
      <c r="E8" s="15" t="s">
        <v>105</v>
      </c>
      <c r="F8" s="9" t="s">
        <v>97</v>
      </c>
    </row>
    <row r="9" customFormat="false" ht="15" hidden="false" customHeight="true" outlineLevel="0" collapsed="false">
      <c r="A9" s="15" t="s">
        <v>103</v>
      </c>
      <c r="B9" s="15" t="s">
        <v>47</v>
      </c>
      <c r="C9" s="15" t="s">
        <v>106</v>
      </c>
      <c r="D9" s="16" t="n">
        <v>0.81</v>
      </c>
      <c r="E9" s="15" t="s">
        <v>107</v>
      </c>
      <c r="F9" s="9" t="s">
        <v>97</v>
      </c>
    </row>
    <row r="10" customFormat="false" ht="15" hidden="false" customHeight="true" outlineLevel="0" collapsed="false">
      <c r="A10" s="15" t="s">
        <v>103</v>
      </c>
      <c r="B10" s="15" t="s">
        <v>47</v>
      </c>
      <c r="C10" s="15" t="s">
        <v>108</v>
      </c>
      <c r="D10" s="16" t="n">
        <v>0.818</v>
      </c>
      <c r="E10" s="15" t="s">
        <v>109</v>
      </c>
      <c r="F10" s="9" t="s">
        <v>97</v>
      </c>
    </row>
    <row r="11" customFormat="false" ht="15" hidden="false" customHeight="true" outlineLevel="0" collapsed="false">
      <c r="A11" s="15" t="s">
        <v>110</v>
      </c>
      <c r="B11" s="15" t="s">
        <v>47</v>
      </c>
      <c r="C11" s="15" t="s">
        <v>111</v>
      </c>
      <c r="D11" s="16" t="n">
        <v>0.761</v>
      </c>
      <c r="E11" s="15" t="s">
        <v>112</v>
      </c>
      <c r="F11" s="9" t="s">
        <v>113</v>
      </c>
    </row>
    <row r="12" customFormat="false" ht="15" hidden="false" customHeight="true" outlineLevel="0" collapsed="false">
      <c r="A12" s="15" t="s">
        <v>114</v>
      </c>
      <c r="B12" s="15" t="s">
        <v>47</v>
      </c>
      <c r="C12" s="15" t="s">
        <v>111</v>
      </c>
      <c r="D12" s="16" t="n">
        <v>0.577</v>
      </c>
      <c r="E12" s="15" t="s">
        <v>115</v>
      </c>
      <c r="F12" s="9" t="s">
        <v>116</v>
      </c>
    </row>
    <row r="14" customFormat="false" ht="15" hidden="false" customHeight="true" outlineLevel="0" collapsed="false">
      <c r="A14" s="23" t="s">
        <v>117</v>
      </c>
      <c r="B14" s="23"/>
      <c r="C14" s="23"/>
      <c r="D14" s="23"/>
      <c r="E14" s="23"/>
      <c r="F14" s="23"/>
    </row>
    <row r="15" customFormat="false" ht="39" hidden="false" customHeight="true" outlineLevel="0" collapsed="false">
      <c r="A15" s="22" t="s">
        <v>39</v>
      </c>
      <c r="B15" s="22" t="s">
        <v>118</v>
      </c>
      <c r="C15" s="22" t="s">
        <v>119</v>
      </c>
    </row>
    <row r="16" customFormat="false" ht="15" hidden="false" customHeight="true" outlineLevel="0" collapsed="false">
      <c r="A16" s="9" t="s">
        <v>120</v>
      </c>
      <c r="B16" s="18" t="s">
        <v>121</v>
      </c>
      <c r="C16" s="15" t="s">
        <v>122</v>
      </c>
    </row>
    <row r="17" customFormat="false" ht="15" hidden="false" customHeight="true" outlineLevel="0" collapsed="false">
      <c r="A17" s="9" t="s">
        <v>123</v>
      </c>
      <c r="B17" s="18" t="s">
        <v>124</v>
      </c>
      <c r="C17" s="15" t="s">
        <v>125</v>
      </c>
    </row>
    <row r="19" customFormat="false" ht="15" hidden="false" customHeight="true" outlineLevel="0" collapsed="false">
      <c r="A19" s="12" t="s">
        <v>126</v>
      </c>
      <c r="B19" s="12"/>
      <c r="C19" s="12"/>
      <c r="D19" s="12"/>
      <c r="E19" s="12"/>
      <c r="F19" s="12"/>
    </row>
    <row r="21" customFormat="false" ht="15" hidden="false" customHeight="true" outlineLevel="0" collapsed="false">
      <c r="A21" s="24" t="s">
        <v>127</v>
      </c>
      <c r="B21" s="24"/>
      <c r="C21" s="24"/>
      <c r="D21" s="24"/>
      <c r="E21" s="24"/>
      <c r="F21" s="24"/>
    </row>
    <row r="22" customFormat="false" ht="60" hidden="false" customHeight="true" outlineLevel="0" collapsed="false">
      <c r="A22" s="21" t="s">
        <v>128</v>
      </c>
      <c r="B22" s="21"/>
      <c r="C22" s="21"/>
      <c r="D22" s="21"/>
      <c r="E22" s="21"/>
      <c r="F22" s="21"/>
    </row>
    <row r="24" customFormat="false" ht="45" hidden="false" customHeight="true" outlineLevel="0" collapsed="false">
      <c r="A24" s="12" t="s">
        <v>129</v>
      </c>
      <c r="B24" s="12"/>
      <c r="C24" s="12"/>
      <c r="D24" s="12"/>
      <c r="E24" s="12"/>
      <c r="F24" s="12"/>
    </row>
    <row r="26" customFormat="false" ht="15.75" hidden="false" customHeight="true" outlineLevel="0" collapsed="false">
      <c r="A26" s="13" t="s">
        <v>130</v>
      </c>
      <c r="B26" s="13"/>
      <c r="C26" s="13"/>
      <c r="D26" s="13"/>
      <c r="E26" s="13"/>
      <c r="F26" s="13"/>
    </row>
    <row r="27" customFormat="false" ht="26.25" hidden="false" customHeight="true" outlineLevel="0" collapsed="false">
      <c r="A27" s="14" t="s">
        <v>41</v>
      </c>
      <c r="B27" s="14" t="s">
        <v>131</v>
      </c>
      <c r="C27" s="14" t="s">
        <v>132</v>
      </c>
      <c r="D27" s="14" t="s">
        <v>133</v>
      </c>
      <c r="E27" s="14" t="s">
        <v>134</v>
      </c>
      <c r="F27" s="14" t="s">
        <v>135</v>
      </c>
    </row>
    <row r="28" customFormat="false" ht="15" hidden="false" customHeight="true" outlineLevel="0" collapsed="false">
      <c r="A28" s="9" t="s">
        <v>136</v>
      </c>
      <c r="B28" s="16" t="n">
        <v>0.817</v>
      </c>
      <c r="C28" s="15" t="s">
        <v>96</v>
      </c>
      <c r="D28" s="16" t="n">
        <v>0.832</v>
      </c>
      <c r="E28" s="15" t="s">
        <v>137</v>
      </c>
      <c r="F28" s="9" t="s">
        <v>138</v>
      </c>
    </row>
    <row r="29" customFormat="false" ht="15" hidden="false" customHeight="true" outlineLevel="0" collapsed="false">
      <c r="A29" s="9" t="s">
        <v>98</v>
      </c>
      <c r="B29" s="16" t="n">
        <v>0.825</v>
      </c>
      <c r="C29" s="15" t="s">
        <v>99</v>
      </c>
      <c r="D29" s="16" t="n">
        <v>0.842</v>
      </c>
      <c r="E29" s="15" t="s">
        <v>139</v>
      </c>
      <c r="F29" s="9" t="s">
        <v>138</v>
      </c>
    </row>
    <row r="31" customFormat="false" ht="45" hidden="false" customHeight="true" outlineLevel="0" collapsed="false">
      <c r="A31" s="12" t="s">
        <v>140</v>
      </c>
      <c r="B31" s="12"/>
      <c r="C31" s="12"/>
      <c r="D31" s="12"/>
      <c r="E31" s="12"/>
      <c r="F31" s="12"/>
    </row>
  </sheetData>
  <mergeCells count="9">
    <mergeCell ref="A1:F1"/>
    <mergeCell ref="A2:F2"/>
    <mergeCell ref="A14:F14"/>
    <mergeCell ref="A19:F19"/>
    <mergeCell ref="A21:F21"/>
    <mergeCell ref="A22:F22"/>
    <mergeCell ref="A24:F24"/>
    <mergeCell ref="A26:F26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18"/>
    <col collapsed="false" customWidth="true" hidden="false" outlineLevel="0" max="6" min="6" style="1" width="55"/>
  </cols>
  <sheetData>
    <row r="1" customFormat="false" ht="15.75" hidden="false" customHeight="true" outlineLevel="0" collapsed="false">
      <c r="A1" s="13" t="s">
        <v>141</v>
      </c>
      <c r="B1" s="13"/>
      <c r="C1" s="13"/>
      <c r="D1" s="13"/>
      <c r="E1" s="13"/>
      <c r="F1" s="13"/>
    </row>
    <row r="2" customFormat="false" ht="27.75" hidden="false" customHeight="true" outlineLevel="0" collapsed="false">
      <c r="A2" s="3" t="s">
        <v>142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23" t="s">
        <v>143</v>
      </c>
      <c r="B4" s="23"/>
      <c r="C4" s="23"/>
      <c r="D4" s="23"/>
      <c r="E4" s="23"/>
      <c r="F4" s="23"/>
    </row>
    <row r="5" customFormat="false" ht="45" hidden="false" customHeight="true" outlineLevel="0" collapsed="false">
      <c r="A5" s="12" t="s">
        <v>144</v>
      </c>
      <c r="B5" s="12"/>
      <c r="C5" s="12"/>
      <c r="D5" s="12"/>
      <c r="E5" s="12"/>
      <c r="F5" s="12"/>
    </row>
    <row r="7" customFormat="false" ht="15.75" hidden="false" customHeight="true" outlineLevel="0" collapsed="false">
      <c r="A7" s="13" t="s">
        <v>145</v>
      </c>
      <c r="B7" s="13"/>
      <c r="C7" s="13"/>
      <c r="D7" s="13"/>
      <c r="E7" s="13"/>
      <c r="F7" s="13"/>
    </row>
    <row r="8" customFormat="false" ht="15" hidden="false" customHeight="true" outlineLevel="0" collapsed="false">
      <c r="A8" s="12" t="s">
        <v>146</v>
      </c>
      <c r="B8" s="12"/>
      <c r="C8" s="12"/>
      <c r="D8" s="12"/>
      <c r="E8" s="12"/>
      <c r="F8" s="12"/>
    </row>
    <row r="9" customFormat="false" ht="15" hidden="false" customHeight="true" outlineLevel="0" collapsed="false">
      <c r="A9" s="22" t="s">
        <v>147</v>
      </c>
      <c r="B9" s="22" t="s">
        <v>148</v>
      </c>
      <c r="C9" s="22" t="s">
        <v>44</v>
      </c>
      <c r="D9" s="22" t="s">
        <v>42</v>
      </c>
    </row>
    <row r="10" customFormat="false" ht="15" hidden="false" customHeight="true" outlineLevel="0" collapsed="false">
      <c r="A10" s="15" t="s">
        <v>149</v>
      </c>
      <c r="B10" s="15" t="n">
        <v>216</v>
      </c>
      <c r="C10" s="15" t="n">
        <v>266</v>
      </c>
      <c r="D10" s="16" t="n">
        <v>0.812</v>
      </c>
    </row>
    <row r="11" customFormat="false" ht="15" hidden="false" customHeight="true" outlineLevel="0" collapsed="false">
      <c r="A11" s="15" t="s">
        <v>150</v>
      </c>
      <c r="B11" s="15" t="n">
        <v>251</v>
      </c>
      <c r="C11" s="15" t="n">
        <v>323</v>
      </c>
      <c r="D11" s="16" t="n">
        <v>0.7771</v>
      </c>
    </row>
    <row r="12" customFormat="false" ht="15" hidden="false" customHeight="true" outlineLevel="0" collapsed="false">
      <c r="A12" s="15" t="s">
        <v>151</v>
      </c>
      <c r="B12" s="15" t="n">
        <v>302</v>
      </c>
      <c r="C12" s="15" t="n">
        <v>412</v>
      </c>
      <c r="D12" s="16" t="n">
        <v>0.733</v>
      </c>
    </row>
    <row r="13" customFormat="false" ht="15" hidden="false" customHeight="true" outlineLevel="0" collapsed="false">
      <c r="A13" s="15" t="s">
        <v>152</v>
      </c>
      <c r="B13" s="15" t="n">
        <v>328</v>
      </c>
      <c r="C13" s="15" t="n">
        <v>497</v>
      </c>
      <c r="D13" s="16" t="n">
        <v>0.66</v>
      </c>
    </row>
    <row r="14" customFormat="false" ht="15" hidden="false" customHeight="true" outlineLevel="0" collapsed="false">
      <c r="A14" s="15" t="s">
        <v>153</v>
      </c>
      <c r="B14" s="15" t="n">
        <v>305</v>
      </c>
      <c r="C14" s="15" t="n">
        <v>418</v>
      </c>
      <c r="D14" s="16" t="n">
        <v>0.7297</v>
      </c>
      <c r="F14" s="19" t="s">
        <v>154</v>
      </c>
    </row>
    <row r="16" customFormat="false" ht="15.75" hidden="false" customHeight="true" outlineLevel="0" collapsed="false">
      <c r="A16" s="13" t="s">
        <v>155</v>
      </c>
      <c r="B16" s="13"/>
      <c r="C16" s="13"/>
      <c r="D16" s="13"/>
      <c r="E16" s="13"/>
      <c r="F16" s="13"/>
    </row>
    <row r="17" customFormat="false" ht="15" hidden="false" customHeight="true" outlineLevel="0" collapsed="false">
      <c r="A17" s="12" t="s">
        <v>146</v>
      </c>
      <c r="B17" s="12"/>
      <c r="C17" s="12"/>
      <c r="D17" s="12"/>
      <c r="E17" s="12"/>
      <c r="F17" s="12"/>
    </row>
    <row r="18" customFormat="false" ht="15" hidden="false" customHeight="true" outlineLevel="0" collapsed="false">
      <c r="A18" s="22" t="s">
        <v>147</v>
      </c>
      <c r="B18" s="22" t="s">
        <v>148</v>
      </c>
      <c r="C18" s="22" t="s">
        <v>44</v>
      </c>
      <c r="D18" s="22" t="s">
        <v>42</v>
      </c>
    </row>
    <row r="19" customFormat="false" ht="15" hidden="false" customHeight="true" outlineLevel="0" collapsed="false">
      <c r="A19" s="15" t="s">
        <v>149</v>
      </c>
      <c r="B19" s="15" t="n">
        <v>88</v>
      </c>
      <c r="C19" s="15" t="n">
        <v>116</v>
      </c>
      <c r="D19" s="16" t="n">
        <v>0.7586</v>
      </c>
    </row>
    <row r="20" customFormat="false" ht="15" hidden="false" customHeight="true" outlineLevel="0" collapsed="false">
      <c r="A20" s="15" t="s">
        <v>150</v>
      </c>
      <c r="B20" s="15" t="n">
        <v>167</v>
      </c>
      <c r="C20" s="15" t="n">
        <v>215</v>
      </c>
      <c r="D20" s="16" t="n">
        <v>0.7767</v>
      </c>
    </row>
    <row r="21" customFormat="false" ht="15" hidden="false" customHeight="true" outlineLevel="0" collapsed="false">
      <c r="A21" s="15" t="s">
        <v>151</v>
      </c>
      <c r="B21" s="15" t="n">
        <v>276</v>
      </c>
      <c r="C21" s="15" t="n">
        <v>343</v>
      </c>
      <c r="D21" s="16" t="n">
        <v>0.8047</v>
      </c>
    </row>
    <row r="22" customFormat="false" ht="15" hidden="false" customHeight="true" outlineLevel="0" collapsed="false">
      <c r="A22" s="15" t="s">
        <v>152</v>
      </c>
      <c r="B22" s="15" t="n">
        <v>363</v>
      </c>
      <c r="C22" s="15" t="n">
        <v>544</v>
      </c>
      <c r="D22" s="16" t="n">
        <v>0.6673</v>
      </c>
    </row>
    <row r="23" customFormat="false" ht="15" hidden="false" customHeight="true" outlineLevel="0" collapsed="false">
      <c r="A23" s="15" t="s">
        <v>153</v>
      </c>
      <c r="B23" s="15" t="n">
        <v>508</v>
      </c>
      <c r="C23" s="15" t="n">
        <v>698</v>
      </c>
      <c r="D23" s="16" t="n">
        <v>0.7278</v>
      </c>
    </row>
    <row r="25" customFormat="false" ht="15.75" hidden="false" customHeight="true" outlineLevel="0" collapsed="false">
      <c r="A25" s="13" t="s">
        <v>156</v>
      </c>
      <c r="B25" s="13"/>
      <c r="C25" s="13"/>
      <c r="D25" s="13"/>
      <c r="E25" s="13"/>
      <c r="F25" s="13"/>
    </row>
    <row r="26" customFormat="false" ht="15" hidden="false" customHeight="true" outlineLevel="0" collapsed="false">
      <c r="A26" s="12" t="s">
        <v>157</v>
      </c>
      <c r="B26" s="12"/>
      <c r="C26" s="12"/>
      <c r="D26" s="12"/>
      <c r="E26" s="12"/>
      <c r="F26" s="12"/>
    </row>
    <row r="27" customFormat="false" ht="15" hidden="false" customHeight="true" outlineLevel="0" collapsed="false">
      <c r="A27" s="22" t="s">
        <v>147</v>
      </c>
      <c r="B27" s="22" t="s">
        <v>148</v>
      </c>
      <c r="C27" s="22" t="s">
        <v>44</v>
      </c>
      <c r="D27" s="22" t="s">
        <v>42</v>
      </c>
    </row>
    <row r="28" customFormat="false" ht="15" hidden="false" customHeight="true" outlineLevel="0" collapsed="false">
      <c r="A28" s="15" t="s">
        <v>149</v>
      </c>
      <c r="B28" s="15" t="n">
        <v>15</v>
      </c>
      <c r="C28" s="15" t="n">
        <v>30</v>
      </c>
      <c r="D28" s="16" t="n">
        <v>0.5</v>
      </c>
    </row>
    <row r="29" customFormat="false" ht="15" hidden="false" customHeight="true" outlineLevel="0" collapsed="false">
      <c r="A29" s="15" t="s">
        <v>150</v>
      </c>
      <c r="B29" s="15" t="n">
        <v>93</v>
      </c>
      <c r="C29" s="15" t="n">
        <v>148</v>
      </c>
      <c r="D29" s="16" t="n">
        <v>0.6284</v>
      </c>
    </row>
    <row r="30" customFormat="false" ht="15" hidden="false" customHeight="true" outlineLevel="0" collapsed="false">
      <c r="A30" s="15" t="s">
        <v>151</v>
      </c>
      <c r="B30" s="15" t="n">
        <v>185</v>
      </c>
      <c r="C30" s="15" t="n">
        <v>318</v>
      </c>
      <c r="D30" s="16" t="n">
        <v>0.5818</v>
      </c>
    </row>
    <row r="31" customFormat="false" ht="15" hidden="false" customHeight="true" outlineLevel="0" collapsed="false">
      <c r="A31" s="15" t="s">
        <v>152</v>
      </c>
      <c r="B31" s="15" t="n">
        <v>338</v>
      </c>
      <c r="C31" s="15" t="n">
        <v>596</v>
      </c>
      <c r="D31" s="16" t="n">
        <v>0.5671</v>
      </c>
    </row>
    <row r="32" customFormat="false" ht="15" hidden="false" customHeight="true" outlineLevel="0" collapsed="false">
      <c r="A32" s="15" t="s">
        <v>153</v>
      </c>
      <c r="B32" s="15" t="n">
        <v>409</v>
      </c>
      <c r="C32" s="15" t="n">
        <v>691</v>
      </c>
      <c r="D32" s="16" t="n">
        <v>0.5919</v>
      </c>
    </row>
    <row r="34" customFormat="false" ht="15.75" hidden="false" customHeight="true" outlineLevel="0" collapsed="false">
      <c r="A34" s="13" t="s">
        <v>158</v>
      </c>
      <c r="B34" s="13"/>
      <c r="C34" s="13"/>
      <c r="D34" s="13"/>
      <c r="E34" s="13"/>
      <c r="F34" s="13"/>
    </row>
    <row r="35" customFormat="false" ht="15" hidden="false" customHeight="true" outlineLevel="0" collapsed="false">
      <c r="A35" s="12" t="s">
        <v>157</v>
      </c>
      <c r="B35" s="12"/>
      <c r="C35" s="12"/>
      <c r="D35" s="12"/>
      <c r="E35" s="12"/>
      <c r="F35" s="12"/>
    </row>
    <row r="36" customFormat="false" ht="15" hidden="false" customHeight="true" outlineLevel="0" collapsed="false">
      <c r="A36" s="22" t="s">
        <v>147</v>
      </c>
      <c r="B36" s="22" t="s">
        <v>148</v>
      </c>
      <c r="C36" s="22" t="s">
        <v>44</v>
      </c>
      <c r="D36" s="22" t="s">
        <v>42</v>
      </c>
    </row>
    <row r="37" customFormat="false" ht="15" hidden="false" customHeight="true" outlineLevel="0" collapsed="false">
      <c r="A37" s="15" t="s">
        <v>149</v>
      </c>
      <c r="B37" s="15" t="n">
        <v>238</v>
      </c>
      <c r="C37" s="15" t="n">
        <v>382</v>
      </c>
      <c r="D37" s="16" t="n">
        <v>0.623</v>
      </c>
    </row>
    <row r="38" customFormat="false" ht="15" hidden="false" customHeight="true" outlineLevel="0" collapsed="false">
      <c r="A38" s="15" t="s">
        <v>150</v>
      </c>
      <c r="B38" s="15" t="n">
        <v>183</v>
      </c>
      <c r="C38" s="15" t="n">
        <v>305</v>
      </c>
      <c r="D38" s="16" t="n">
        <v>0.6</v>
      </c>
    </row>
    <row r="39" customFormat="false" ht="15" hidden="false" customHeight="true" outlineLevel="0" collapsed="false">
      <c r="A39" s="15" t="s">
        <v>151</v>
      </c>
      <c r="B39" s="15" t="n">
        <v>190</v>
      </c>
      <c r="C39" s="15" t="n">
        <v>345</v>
      </c>
      <c r="D39" s="16" t="n">
        <v>0.5507</v>
      </c>
    </row>
    <row r="40" customFormat="false" ht="15" hidden="false" customHeight="true" outlineLevel="0" collapsed="false">
      <c r="A40" s="15" t="s">
        <v>152</v>
      </c>
      <c r="B40" s="15" t="n">
        <v>231</v>
      </c>
      <c r="C40" s="15" t="n">
        <v>394</v>
      </c>
      <c r="D40" s="16" t="n">
        <v>0.5863</v>
      </c>
    </row>
    <row r="41" customFormat="false" ht="15" hidden="false" customHeight="true" outlineLevel="0" collapsed="false">
      <c r="A41" s="15" t="s">
        <v>153</v>
      </c>
      <c r="B41" s="15" t="n">
        <v>198</v>
      </c>
      <c r="C41" s="15" t="n">
        <v>357</v>
      </c>
      <c r="D41" s="16" t="n">
        <v>0.5546</v>
      </c>
    </row>
    <row r="43" customFormat="false" ht="15.75" hidden="false" customHeight="true" outlineLevel="0" collapsed="false">
      <c r="A43" s="13" t="s">
        <v>159</v>
      </c>
      <c r="B43" s="13"/>
      <c r="C43" s="13"/>
      <c r="D43" s="13"/>
      <c r="E43" s="13"/>
      <c r="F43" s="13"/>
    </row>
    <row r="44" customFormat="false" ht="15" hidden="false" customHeight="true" outlineLevel="0" collapsed="false">
      <c r="A44" s="12" t="s">
        <v>160</v>
      </c>
      <c r="B44" s="12"/>
      <c r="C44" s="12"/>
      <c r="D44" s="12"/>
      <c r="E44" s="12"/>
      <c r="F44" s="12"/>
    </row>
    <row r="45" customFormat="false" ht="15" hidden="false" customHeight="true" outlineLevel="0" collapsed="false">
      <c r="A45" s="22" t="s">
        <v>147</v>
      </c>
      <c r="B45" s="22" t="s">
        <v>148</v>
      </c>
      <c r="C45" s="22" t="s">
        <v>44</v>
      </c>
      <c r="D45" s="22" t="s">
        <v>42</v>
      </c>
    </row>
    <row r="46" customFormat="false" ht="15" hidden="false" customHeight="true" outlineLevel="0" collapsed="false">
      <c r="A46" s="15" t="s">
        <v>149</v>
      </c>
      <c r="B46" s="15" t="n">
        <v>96</v>
      </c>
      <c r="C46" s="15" t="n">
        <v>123</v>
      </c>
      <c r="D46" s="16" t="n">
        <v>0.7805</v>
      </c>
    </row>
    <row r="47" customFormat="false" ht="15" hidden="false" customHeight="true" outlineLevel="0" collapsed="false">
      <c r="A47" s="15" t="s">
        <v>150</v>
      </c>
      <c r="B47" s="15" t="n">
        <v>60</v>
      </c>
      <c r="C47" s="15" t="n">
        <v>82</v>
      </c>
      <c r="D47" s="16" t="n">
        <v>0.7317</v>
      </c>
    </row>
    <row r="48" customFormat="false" ht="15" hidden="false" customHeight="true" outlineLevel="0" collapsed="false">
      <c r="A48" s="15" t="s">
        <v>151</v>
      </c>
      <c r="B48" s="15" t="n">
        <v>51</v>
      </c>
      <c r="C48" s="15" t="n">
        <v>93</v>
      </c>
      <c r="D48" s="16" t="n">
        <v>0.5484</v>
      </c>
    </row>
    <row r="49" customFormat="false" ht="15" hidden="false" customHeight="true" outlineLevel="0" collapsed="false">
      <c r="A49" s="15" t="s">
        <v>152</v>
      </c>
      <c r="B49" s="15" t="n">
        <v>51</v>
      </c>
      <c r="C49" s="15" t="n">
        <v>98</v>
      </c>
      <c r="D49" s="16" t="n">
        <v>0.5204</v>
      </c>
    </row>
    <row r="50" customFormat="false" ht="15" hidden="false" customHeight="true" outlineLevel="0" collapsed="false">
      <c r="A50" s="15" t="s">
        <v>153</v>
      </c>
      <c r="B50" s="15" t="n">
        <v>89</v>
      </c>
      <c r="C50" s="15" t="n">
        <v>163</v>
      </c>
      <c r="D50" s="16" t="n">
        <v>0.546</v>
      </c>
    </row>
    <row r="52" customFormat="false" ht="15.75" hidden="false" customHeight="true" outlineLevel="0" collapsed="false">
      <c r="A52" s="13" t="s">
        <v>161</v>
      </c>
      <c r="B52" s="13"/>
      <c r="C52" s="13"/>
      <c r="D52" s="13"/>
      <c r="E52" s="13"/>
      <c r="F52" s="13"/>
    </row>
    <row r="53" customFormat="false" ht="15" hidden="false" customHeight="true" outlineLevel="0" collapsed="false">
      <c r="A53" s="12" t="s">
        <v>162</v>
      </c>
      <c r="B53" s="12"/>
      <c r="C53" s="12"/>
      <c r="D53" s="12"/>
      <c r="E53" s="12"/>
      <c r="F53" s="12"/>
    </row>
    <row r="54" customFormat="false" ht="15" hidden="false" customHeight="true" outlineLevel="0" collapsed="false">
      <c r="A54" s="22" t="s">
        <v>147</v>
      </c>
      <c r="B54" s="22" t="s">
        <v>148</v>
      </c>
      <c r="C54" s="22" t="s">
        <v>44</v>
      </c>
      <c r="D54" s="22" t="s">
        <v>42</v>
      </c>
    </row>
    <row r="55" customFormat="false" ht="15" hidden="false" customHeight="true" outlineLevel="0" collapsed="false">
      <c r="A55" s="15" t="s">
        <v>149</v>
      </c>
      <c r="B55" s="15" t="n">
        <v>16</v>
      </c>
      <c r="C55" s="15" t="n">
        <v>40</v>
      </c>
      <c r="D55" s="16" t="n">
        <v>0.4</v>
      </c>
    </row>
    <row r="56" customFormat="false" ht="15" hidden="false" customHeight="true" outlineLevel="0" collapsed="false">
      <c r="A56" s="15" t="s">
        <v>150</v>
      </c>
      <c r="B56" s="15" t="n">
        <v>31</v>
      </c>
      <c r="C56" s="15" t="n">
        <v>67</v>
      </c>
      <c r="D56" s="16" t="n">
        <v>0.4627</v>
      </c>
    </row>
    <row r="57" customFormat="false" ht="15" hidden="false" customHeight="true" outlineLevel="0" collapsed="false">
      <c r="A57" s="15" t="s">
        <v>151</v>
      </c>
      <c r="B57" s="15" t="n">
        <v>35</v>
      </c>
      <c r="C57" s="15" t="n">
        <v>73</v>
      </c>
      <c r="D57" s="16" t="n">
        <v>0.4795</v>
      </c>
    </row>
    <row r="58" customFormat="false" ht="15" hidden="false" customHeight="true" outlineLevel="0" collapsed="false">
      <c r="A58" s="15" t="s">
        <v>152</v>
      </c>
      <c r="B58" s="15" t="n">
        <v>59</v>
      </c>
      <c r="C58" s="15" t="n">
        <v>111</v>
      </c>
      <c r="D58" s="16" t="n">
        <v>0.5315</v>
      </c>
    </row>
    <row r="59" customFormat="false" ht="15" hidden="false" customHeight="true" outlineLevel="0" collapsed="false">
      <c r="A59" s="15" t="s">
        <v>153</v>
      </c>
      <c r="B59" s="15" t="n">
        <v>48</v>
      </c>
      <c r="C59" s="15" t="n">
        <v>87</v>
      </c>
      <c r="D59" s="16" t="n">
        <v>0.5517</v>
      </c>
    </row>
    <row r="61" customFormat="false" ht="15.75" hidden="false" customHeight="true" outlineLevel="0" collapsed="false">
      <c r="A61" s="13" t="s">
        <v>163</v>
      </c>
      <c r="B61" s="13"/>
      <c r="C61" s="13"/>
      <c r="D61" s="13"/>
      <c r="E61" s="13"/>
      <c r="F61" s="13"/>
    </row>
    <row r="62" customFormat="false" ht="15" hidden="false" customHeight="true" outlineLevel="0" collapsed="false">
      <c r="A62" s="12" t="s">
        <v>164</v>
      </c>
      <c r="B62" s="12"/>
      <c r="C62" s="12"/>
      <c r="D62" s="12"/>
      <c r="E62" s="12"/>
      <c r="F62" s="12"/>
    </row>
    <row r="63" customFormat="false" ht="15" hidden="false" customHeight="true" outlineLevel="0" collapsed="false">
      <c r="A63" s="22" t="s">
        <v>147</v>
      </c>
      <c r="B63" s="22" t="s">
        <v>148</v>
      </c>
      <c r="C63" s="22" t="s">
        <v>44</v>
      </c>
      <c r="D63" s="22" t="s">
        <v>42</v>
      </c>
    </row>
    <row r="64" customFormat="false" ht="15" hidden="false" customHeight="true" outlineLevel="0" collapsed="false">
      <c r="A64" s="15" t="s">
        <v>149</v>
      </c>
      <c r="B64" s="15" t="n">
        <v>0</v>
      </c>
      <c r="C64" s="15" t="n">
        <v>2</v>
      </c>
      <c r="D64" s="16" t="n">
        <v>0</v>
      </c>
    </row>
    <row r="65" customFormat="false" ht="15" hidden="false" customHeight="true" outlineLevel="0" collapsed="false">
      <c r="A65" s="15" t="s">
        <v>150</v>
      </c>
      <c r="B65" s="15" t="n">
        <v>18</v>
      </c>
      <c r="C65" s="15" t="n">
        <v>39</v>
      </c>
      <c r="D65" s="16" t="n">
        <v>0.4615</v>
      </c>
    </row>
    <row r="66" customFormat="false" ht="15" hidden="false" customHeight="true" outlineLevel="0" collapsed="false">
      <c r="A66" s="15" t="s">
        <v>151</v>
      </c>
      <c r="B66" s="15" t="n">
        <v>52</v>
      </c>
      <c r="C66" s="15" t="n">
        <v>98</v>
      </c>
      <c r="D66" s="16" t="n">
        <v>0.5306</v>
      </c>
    </row>
    <row r="67" customFormat="false" ht="15" hidden="false" customHeight="true" outlineLevel="0" collapsed="false">
      <c r="A67" s="15" t="s">
        <v>152</v>
      </c>
      <c r="B67" s="15" t="n">
        <v>63</v>
      </c>
      <c r="C67" s="15" t="n">
        <v>156</v>
      </c>
      <c r="D67" s="16" t="n">
        <v>0.4038</v>
      </c>
    </row>
    <row r="68" customFormat="false" ht="15" hidden="false" customHeight="true" outlineLevel="0" collapsed="false">
      <c r="A68" s="15" t="s">
        <v>153</v>
      </c>
      <c r="B68" s="15" t="n">
        <v>144</v>
      </c>
      <c r="C68" s="15" t="n">
        <v>310</v>
      </c>
      <c r="D68" s="16" t="n">
        <v>0.4645</v>
      </c>
    </row>
    <row r="70" customFormat="false" ht="15.75" hidden="false" customHeight="true" outlineLevel="0" collapsed="false">
      <c r="A70" s="13" t="s">
        <v>165</v>
      </c>
      <c r="B70" s="13"/>
      <c r="C70" s="13"/>
      <c r="D70" s="13"/>
      <c r="E70" s="13"/>
      <c r="F70" s="13"/>
    </row>
    <row r="71" customFormat="false" ht="15" hidden="false" customHeight="true" outlineLevel="0" collapsed="false">
      <c r="A71" s="12" t="s">
        <v>166</v>
      </c>
      <c r="B71" s="12"/>
      <c r="C71" s="12"/>
      <c r="D71" s="12"/>
      <c r="E71" s="12"/>
      <c r="F71" s="12"/>
    </row>
    <row r="72" customFormat="false" ht="15" hidden="false" customHeight="true" outlineLevel="0" collapsed="false">
      <c r="A72" s="22" t="s">
        <v>147</v>
      </c>
      <c r="B72" s="22" t="s">
        <v>148</v>
      </c>
      <c r="C72" s="22" t="s">
        <v>44</v>
      </c>
      <c r="D72" s="22" t="s">
        <v>42</v>
      </c>
    </row>
    <row r="73" customFormat="false" ht="15" hidden="false" customHeight="true" outlineLevel="0" collapsed="false">
      <c r="A73" s="15" t="s">
        <v>149</v>
      </c>
      <c r="B73" s="15" t="n">
        <v>6</v>
      </c>
      <c r="C73" s="15" t="n">
        <v>10</v>
      </c>
      <c r="D73" s="16" t="n">
        <v>0.6</v>
      </c>
    </row>
    <row r="74" customFormat="false" ht="15" hidden="false" customHeight="true" outlineLevel="0" collapsed="false">
      <c r="A74" s="15" t="s">
        <v>150</v>
      </c>
      <c r="B74" s="15" t="n">
        <v>13</v>
      </c>
      <c r="C74" s="15" t="n">
        <v>19</v>
      </c>
      <c r="D74" s="16" t="n">
        <v>0.6842</v>
      </c>
    </row>
    <row r="75" customFormat="false" ht="15" hidden="false" customHeight="true" outlineLevel="0" collapsed="false">
      <c r="A75" s="15" t="s">
        <v>151</v>
      </c>
      <c r="B75" s="15" t="n">
        <v>26</v>
      </c>
      <c r="C75" s="15" t="n">
        <v>39</v>
      </c>
      <c r="D75" s="16" t="n">
        <v>0.6667</v>
      </c>
    </row>
    <row r="76" customFormat="false" ht="15" hidden="false" customHeight="true" outlineLevel="0" collapsed="false">
      <c r="A76" s="15" t="s">
        <v>152</v>
      </c>
      <c r="B76" s="15" t="n">
        <v>56</v>
      </c>
      <c r="C76" s="15" t="n">
        <v>83</v>
      </c>
      <c r="D76" s="16" t="n">
        <v>0.6747</v>
      </c>
    </row>
    <row r="77" customFormat="false" ht="15" hidden="false" customHeight="true" outlineLevel="0" collapsed="false">
      <c r="A77" s="15" t="s">
        <v>153</v>
      </c>
      <c r="B77" s="15" t="n">
        <v>75</v>
      </c>
      <c r="C77" s="15" t="n">
        <v>116</v>
      </c>
      <c r="D77" s="16" t="n">
        <v>0.6466</v>
      </c>
    </row>
    <row r="79" customFormat="false" ht="15.75" hidden="false" customHeight="true" outlineLevel="0" collapsed="false">
      <c r="A79" s="13" t="s">
        <v>167</v>
      </c>
      <c r="B79" s="13"/>
      <c r="C79" s="13"/>
      <c r="D79" s="13"/>
      <c r="E79" s="13"/>
      <c r="F79" s="13"/>
    </row>
    <row r="80" customFormat="false" ht="39" hidden="false" customHeight="true" outlineLevel="0" collapsed="false">
      <c r="A80" s="22" t="s">
        <v>168</v>
      </c>
      <c r="B80" s="22" t="s">
        <v>169</v>
      </c>
      <c r="C80" s="22" t="s">
        <v>170</v>
      </c>
      <c r="D80" s="22" t="s">
        <v>171</v>
      </c>
      <c r="E80" s="22" t="s">
        <v>172</v>
      </c>
    </row>
    <row r="81" customFormat="false" ht="15" hidden="false" customHeight="true" outlineLevel="0" collapsed="false">
      <c r="A81" s="9" t="s">
        <v>173</v>
      </c>
      <c r="B81" s="15" t="s">
        <v>174</v>
      </c>
      <c r="C81" s="16" t="n">
        <v>0.7629</v>
      </c>
      <c r="D81" s="15" t="s">
        <v>175</v>
      </c>
      <c r="E81" s="16" t="n">
        <v>0.6159</v>
      </c>
    </row>
    <row r="82" customFormat="false" ht="15" hidden="false" customHeight="true" outlineLevel="0" collapsed="false">
      <c r="A82" s="9" t="s">
        <v>176</v>
      </c>
      <c r="B82" s="15" t="s">
        <v>177</v>
      </c>
      <c r="C82" s="16" t="n">
        <v>0.6832</v>
      </c>
      <c r="D82" s="15" t="s">
        <v>178</v>
      </c>
      <c r="E82" s="16" t="n">
        <v>0.6284</v>
      </c>
    </row>
    <row r="83" customFormat="false" ht="15" hidden="false" customHeight="true" outlineLevel="0" collapsed="false">
      <c r="A83" s="9" t="s">
        <v>179</v>
      </c>
      <c r="B83" s="15" t="s">
        <v>180</v>
      </c>
      <c r="C83" s="16" t="n">
        <v>0.7345</v>
      </c>
      <c r="D83" s="15" t="s">
        <v>181</v>
      </c>
      <c r="E83" s="16" t="n">
        <v>0.5402</v>
      </c>
    </row>
    <row r="84" customFormat="false" ht="15" hidden="false" customHeight="true" outlineLevel="0" collapsed="false">
      <c r="A84" s="9" t="s">
        <v>182</v>
      </c>
      <c r="B84" s="15" t="s">
        <v>183</v>
      </c>
      <c r="C84" s="16" t="n">
        <v>0.7316</v>
      </c>
      <c r="D84" s="15" t="s">
        <v>184</v>
      </c>
      <c r="E84" s="16" t="n">
        <v>0.5399</v>
      </c>
    </row>
    <row r="86" customFormat="false" ht="15.75" hidden="false" customHeight="true" outlineLevel="0" collapsed="false">
      <c r="A86" s="13" t="s">
        <v>185</v>
      </c>
      <c r="B86" s="13"/>
      <c r="C86" s="13"/>
      <c r="D86" s="13"/>
      <c r="E86" s="13"/>
      <c r="F86" s="13"/>
    </row>
    <row r="87" customFormat="false" ht="15" hidden="false" customHeight="true" outlineLevel="0" collapsed="false">
      <c r="A87" s="22" t="s">
        <v>186</v>
      </c>
      <c r="B87" s="22" t="s">
        <v>39</v>
      </c>
      <c r="C87" s="22" t="s">
        <v>187</v>
      </c>
      <c r="D87" s="22" t="s">
        <v>188</v>
      </c>
      <c r="E87" s="22" t="s">
        <v>189</v>
      </c>
      <c r="F87" s="22" t="s">
        <v>190</v>
      </c>
    </row>
    <row r="88" customFormat="false" ht="15" hidden="false" customHeight="true" outlineLevel="0" collapsed="false">
      <c r="A88" s="9" t="s">
        <v>191</v>
      </c>
      <c r="B88" s="9" t="s">
        <v>46</v>
      </c>
      <c r="C88" s="9" t="s">
        <v>151</v>
      </c>
      <c r="D88" s="9" t="s">
        <v>149</v>
      </c>
      <c r="E88" s="15" t="s">
        <v>192</v>
      </c>
      <c r="F88" s="16" t="n">
        <v>0.8833</v>
      </c>
    </row>
    <row r="89" customFormat="false" ht="15" hidden="false" customHeight="true" outlineLevel="0" collapsed="false">
      <c r="A89" s="9" t="s">
        <v>193</v>
      </c>
      <c r="B89" s="9" t="s">
        <v>58</v>
      </c>
      <c r="C89" s="9" t="s">
        <v>149</v>
      </c>
      <c r="D89" s="9" t="s">
        <v>152</v>
      </c>
      <c r="E89" s="15" t="s">
        <v>194</v>
      </c>
      <c r="F89" s="16" t="n">
        <v>0.6083</v>
      </c>
    </row>
    <row r="90" customFormat="false" ht="15" hidden="false" customHeight="true" outlineLevel="0" collapsed="false">
      <c r="A90" s="9" t="s">
        <v>195</v>
      </c>
      <c r="B90" s="9" t="s">
        <v>46</v>
      </c>
      <c r="C90" s="9" t="s">
        <v>151</v>
      </c>
      <c r="D90" s="9" t="s">
        <v>150</v>
      </c>
      <c r="E90" s="15" t="s">
        <v>196</v>
      </c>
      <c r="F90" s="16" t="n">
        <v>0.7805</v>
      </c>
    </row>
    <row r="91" customFormat="false" ht="15" hidden="false" customHeight="true" outlineLevel="0" collapsed="false">
      <c r="A91" s="9" t="s">
        <v>197</v>
      </c>
      <c r="B91" s="9" t="s">
        <v>46</v>
      </c>
      <c r="C91" s="9" t="s">
        <v>151</v>
      </c>
      <c r="D91" s="9" t="s">
        <v>150</v>
      </c>
      <c r="E91" s="15" t="s">
        <v>196</v>
      </c>
      <c r="F91" s="16" t="n">
        <v>0.7805</v>
      </c>
    </row>
    <row r="93" customFormat="false" ht="15" hidden="false" customHeight="true" outlineLevel="0" collapsed="false">
      <c r="A93" s="12" t="s">
        <v>198</v>
      </c>
      <c r="B93" s="12"/>
      <c r="C93" s="12"/>
      <c r="D93" s="12"/>
      <c r="E93" s="12"/>
      <c r="F93" s="12"/>
    </row>
    <row r="95" customFormat="false" ht="45" hidden="false" customHeight="true" outlineLevel="0" collapsed="false">
      <c r="A95" s="12" t="s">
        <v>199</v>
      </c>
      <c r="B95" s="12"/>
      <c r="C95" s="12"/>
      <c r="D95" s="12"/>
      <c r="E95" s="12"/>
      <c r="F95" s="12"/>
    </row>
  </sheetData>
  <mergeCells count="24">
    <mergeCell ref="A1:F1"/>
    <mergeCell ref="A2:F2"/>
    <mergeCell ref="A4:F4"/>
    <mergeCell ref="A5:F5"/>
    <mergeCell ref="A7:F7"/>
    <mergeCell ref="A8:F8"/>
    <mergeCell ref="A16:F16"/>
    <mergeCell ref="A17:F17"/>
    <mergeCell ref="A25:F25"/>
    <mergeCell ref="A26:F26"/>
    <mergeCell ref="A34:F34"/>
    <mergeCell ref="A35:F35"/>
    <mergeCell ref="A43:F43"/>
    <mergeCell ref="A44:F44"/>
    <mergeCell ref="A52:F52"/>
    <mergeCell ref="A53:F53"/>
    <mergeCell ref="A61:F61"/>
    <mergeCell ref="A62:F62"/>
    <mergeCell ref="A70:F70"/>
    <mergeCell ref="A71:F71"/>
    <mergeCell ref="A79:F79"/>
    <mergeCell ref="A86:F86"/>
    <mergeCell ref="A93:F93"/>
    <mergeCell ref="A95:F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5"/>
  </cols>
  <sheetData>
    <row r="1" customFormat="false" ht="16.15" hidden="false" customHeight="false" outlineLevel="0" collapsed="false">
      <c r="A1" s="25" t="s">
        <v>200</v>
      </c>
      <c r="B1" s="25"/>
      <c r="C1" s="25"/>
      <c r="D1" s="25"/>
      <c r="E1" s="25"/>
    </row>
    <row r="2" customFormat="false" ht="15" hidden="false" customHeight="false" outlineLevel="0" collapsed="false">
      <c r="A2" s="26" t="s">
        <v>201</v>
      </c>
      <c r="B2" s="26"/>
      <c r="C2" s="26"/>
      <c r="D2" s="26"/>
      <c r="E2" s="26"/>
    </row>
    <row r="4" customFormat="false" ht="45" hidden="false" customHeight="true" outlineLevel="0" collapsed="false">
      <c r="A4" s="27" t="s">
        <v>202</v>
      </c>
      <c r="B4" s="27"/>
      <c r="C4" s="27"/>
      <c r="D4" s="27"/>
      <c r="E4" s="27"/>
    </row>
    <row r="5" customFormat="false" ht="45" hidden="false" customHeight="true" outlineLevel="0" collapsed="false">
      <c r="A5" s="28" t="s">
        <v>203</v>
      </c>
      <c r="B5" s="28"/>
      <c r="C5" s="28"/>
      <c r="D5" s="28"/>
      <c r="E5" s="28"/>
    </row>
    <row r="7" customFormat="false" ht="15" hidden="false" customHeight="false" outlineLevel="0" collapsed="false">
      <c r="A7" s="29" t="s">
        <v>204</v>
      </c>
      <c r="B7" s="29"/>
      <c r="C7" s="29"/>
      <c r="D7" s="29"/>
      <c r="E7" s="29"/>
    </row>
    <row r="8" customFormat="false" ht="15" hidden="false" customHeight="false" outlineLevel="0" collapsed="false">
      <c r="A8" s="22" t="s">
        <v>39</v>
      </c>
      <c r="B8" s="22" t="s">
        <v>40</v>
      </c>
      <c r="C8" s="22" t="s">
        <v>44</v>
      </c>
      <c r="D8" s="22" t="s">
        <v>42</v>
      </c>
      <c r="E8" s="22" t="s">
        <v>93</v>
      </c>
    </row>
    <row r="9" customFormat="false" ht="15" hidden="false" customHeight="false" outlineLevel="0" collapsed="false">
      <c r="A9" s="30" t="s">
        <v>94</v>
      </c>
      <c r="B9" s="30" t="s">
        <v>47</v>
      </c>
      <c r="C9" s="30" t="n">
        <v>4362</v>
      </c>
      <c r="D9" s="31" t="n">
        <v>0.742</v>
      </c>
      <c r="E9" s="32"/>
    </row>
    <row r="10" customFormat="false" ht="15" hidden="false" customHeight="false" outlineLevel="0" collapsed="false">
      <c r="A10" s="30" t="s">
        <v>94</v>
      </c>
      <c r="B10" s="30" t="s">
        <v>100</v>
      </c>
      <c r="C10" s="30" t="n">
        <v>1131</v>
      </c>
      <c r="D10" s="31" t="n">
        <v>0.5</v>
      </c>
      <c r="E10" s="32"/>
    </row>
    <row r="11" customFormat="false" ht="15" hidden="false" customHeight="false" outlineLevel="0" collapsed="false">
      <c r="A11" s="30" t="s">
        <v>94</v>
      </c>
      <c r="B11" s="30" t="s">
        <v>205</v>
      </c>
      <c r="C11" s="30" t="n">
        <v>641</v>
      </c>
      <c r="D11" s="31" t="n">
        <v>0.507</v>
      </c>
      <c r="E11" s="32"/>
    </row>
    <row r="12" customFormat="false" ht="15" hidden="false" customHeight="false" outlineLevel="0" collapsed="false">
      <c r="A12" s="30" t="s">
        <v>103</v>
      </c>
      <c r="B12" s="30" t="s">
        <v>47</v>
      </c>
      <c r="C12" s="30" t="n">
        <v>3567</v>
      </c>
      <c r="D12" s="31" t="n">
        <v>0.662</v>
      </c>
      <c r="E12" s="32"/>
    </row>
    <row r="13" customFormat="false" ht="15" hidden="false" customHeight="false" outlineLevel="0" collapsed="false">
      <c r="A13" s="30" t="s">
        <v>103</v>
      </c>
      <c r="B13" s="30" t="s">
        <v>100</v>
      </c>
      <c r="C13" s="30" t="n">
        <v>1230</v>
      </c>
      <c r="D13" s="31" t="n">
        <v>0.493</v>
      </c>
      <c r="E13" s="32"/>
    </row>
    <row r="14" customFormat="false" ht="15" hidden="false" customHeight="false" outlineLevel="0" collapsed="false">
      <c r="A14" s="30" t="s">
        <v>103</v>
      </c>
      <c r="B14" s="30" t="s">
        <v>205</v>
      </c>
      <c r="C14" s="30" t="n">
        <v>529</v>
      </c>
      <c r="D14" s="31" t="n">
        <v>0.563</v>
      </c>
      <c r="E14" s="32"/>
    </row>
    <row r="15" customFormat="false" ht="15" hidden="false" customHeight="false" outlineLevel="0" collapsed="false">
      <c r="A15" s="30" t="s">
        <v>114</v>
      </c>
      <c r="B15" s="30" t="s">
        <v>47</v>
      </c>
      <c r="C15" s="30" t="n">
        <v>2877</v>
      </c>
      <c r="D15" s="31" t="n">
        <v>0.147</v>
      </c>
      <c r="E15" s="32"/>
    </row>
    <row r="16" customFormat="false" ht="15" hidden="false" customHeight="false" outlineLevel="0" collapsed="false">
      <c r="A16" s="30" t="s">
        <v>114</v>
      </c>
      <c r="B16" s="30" t="s">
        <v>100</v>
      </c>
      <c r="C16" s="30" t="n">
        <v>582</v>
      </c>
      <c r="D16" s="31" t="n">
        <v>0.247</v>
      </c>
      <c r="E16" s="32"/>
    </row>
    <row r="17" customFormat="false" ht="15" hidden="false" customHeight="false" outlineLevel="0" collapsed="false">
      <c r="A17" s="30" t="s">
        <v>114</v>
      </c>
      <c r="B17" s="30" t="s">
        <v>205</v>
      </c>
      <c r="C17" s="30" t="n">
        <v>96</v>
      </c>
      <c r="D17" s="33" t="n">
        <v>0.906</v>
      </c>
      <c r="E17" s="32" t="s">
        <v>206</v>
      </c>
    </row>
    <row r="18" customFormat="false" ht="15" hidden="false" customHeight="false" outlineLevel="0" collapsed="false">
      <c r="A18" s="30" t="s">
        <v>110</v>
      </c>
      <c r="B18" s="30" t="s">
        <v>47</v>
      </c>
      <c r="C18" s="30" t="n">
        <v>2770</v>
      </c>
      <c r="D18" s="31" t="n">
        <v>0.193</v>
      </c>
      <c r="E18" s="32"/>
    </row>
    <row r="19" customFormat="false" ht="15" hidden="false" customHeight="false" outlineLevel="0" collapsed="false">
      <c r="A19" s="30" t="s">
        <v>110</v>
      </c>
      <c r="B19" s="30" t="s">
        <v>100</v>
      </c>
      <c r="C19" s="30" t="n">
        <v>629</v>
      </c>
      <c r="D19" s="31" t="n">
        <v>0.308</v>
      </c>
      <c r="E19" s="32"/>
    </row>
    <row r="20" customFormat="false" ht="15" hidden="false" customHeight="false" outlineLevel="0" collapsed="false">
      <c r="A20" s="30" t="s">
        <v>110</v>
      </c>
      <c r="B20" s="30" t="s">
        <v>205</v>
      </c>
      <c r="C20" s="30" t="n">
        <v>50</v>
      </c>
      <c r="D20" s="33" t="n">
        <v>0.9</v>
      </c>
      <c r="E20" s="32" t="s">
        <v>206</v>
      </c>
    </row>
    <row r="21" customFormat="false" ht="15" hidden="false" customHeight="false" outlineLevel="0" collapsed="false">
      <c r="A21" s="30" t="s">
        <v>207</v>
      </c>
      <c r="B21" s="30" t="s">
        <v>100</v>
      </c>
      <c r="C21" s="30" t="n">
        <v>1</v>
      </c>
      <c r="D21" s="31" t="n">
        <v>0</v>
      </c>
      <c r="E21" s="32"/>
    </row>
    <row r="22" customFormat="false" ht="15" hidden="false" customHeight="false" outlineLevel="0" collapsed="false">
      <c r="A22" s="30" t="s">
        <v>207</v>
      </c>
      <c r="B22" s="30" t="s">
        <v>205</v>
      </c>
      <c r="C22" s="30" t="n">
        <v>2</v>
      </c>
      <c r="D22" s="31" t="n">
        <v>0.5</v>
      </c>
      <c r="E22" s="32"/>
    </row>
    <row r="24" customFormat="false" ht="15" hidden="false" customHeight="false" outlineLevel="0" collapsed="false">
      <c r="A24" s="29" t="s">
        <v>208</v>
      </c>
      <c r="B24" s="29"/>
      <c r="C24" s="29"/>
      <c r="D24" s="29"/>
      <c r="E24" s="29"/>
    </row>
    <row r="25" customFormat="false" ht="15" hidden="false" customHeight="false" outlineLevel="0" collapsed="false">
      <c r="A25" s="22" t="s">
        <v>209</v>
      </c>
      <c r="B25" s="22" t="s">
        <v>210</v>
      </c>
      <c r="C25" s="22" t="s">
        <v>211</v>
      </c>
      <c r="D25" s="22" t="s">
        <v>212</v>
      </c>
      <c r="E25" s="22" t="s">
        <v>213</v>
      </c>
    </row>
    <row r="26" customFormat="false" ht="15" hidden="false" customHeight="false" outlineLevel="0" collapsed="false">
      <c r="A26" s="30" t="s">
        <v>214</v>
      </c>
      <c r="B26" s="30" t="s">
        <v>78</v>
      </c>
      <c r="C26" s="34" t="s">
        <v>215</v>
      </c>
      <c r="D26" s="30" t="s">
        <v>216</v>
      </c>
      <c r="E26" s="34" t="s">
        <v>217</v>
      </c>
    </row>
    <row r="27" customFormat="false" ht="15" hidden="false" customHeight="false" outlineLevel="0" collapsed="false">
      <c r="A27" s="30" t="s">
        <v>214</v>
      </c>
      <c r="B27" s="30" t="s">
        <v>218</v>
      </c>
      <c r="C27" s="34" t="s">
        <v>215</v>
      </c>
      <c r="D27" s="30" t="s">
        <v>216</v>
      </c>
      <c r="E27" s="34" t="s">
        <v>217</v>
      </c>
    </row>
    <row r="28" customFormat="false" ht="15" hidden="false" customHeight="false" outlineLevel="0" collapsed="false">
      <c r="A28" s="30" t="s">
        <v>214</v>
      </c>
      <c r="B28" s="30" t="s">
        <v>219</v>
      </c>
      <c r="C28" s="34" t="s">
        <v>215</v>
      </c>
      <c r="D28" s="30" t="s">
        <v>220</v>
      </c>
      <c r="E28" s="34" t="s">
        <v>221</v>
      </c>
    </row>
    <row r="29" customFormat="false" ht="15" hidden="false" customHeight="false" outlineLevel="0" collapsed="false">
      <c r="A29" s="30" t="s">
        <v>214</v>
      </c>
      <c r="B29" s="30" t="s">
        <v>222</v>
      </c>
      <c r="C29" s="34" t="s">
        <v>215</v>
      </c>
      <c r="D29" s="30" t="s">
        <v>220</v>
      </c>
      <c r="E29" s="34" t="s">
        <v>221</v>
      </c>
    </row>
    <row r="30" customFormat="false" ht="15" hidden="false" customHeight="false" outlineLevel="0" collapsed="false">
      <c r="A30" s="30" t="s">
        <v>214</v>
      </c>
      <c r="B30" s="30" t="s">
        <v>223</v>
      </c>
      <c r="C30" s="34" t="s">
        <v>215</v>
      </c>
      <c r="D30" s="30" t="s">
        <v>220</v>
      </c>
      <c r="E30" s="34" t="s">
        <v>221</v>
      </c>
    </row>
    <row r="31" customFormat="false" ht="15" hidden="false" customHeight="false" outlineLevel="0" collapsed="false">
      <c r="A31" s="30" t="s">
        <v>214</v>
      </c>
      <c r="B31" s="30" t="s">
        <v>224</v>
      </c>
      <c r="C31" s="34" t="s">
        <v>225</v>
      </c>
      <c r="D31" s="30" t="s">
        <v>226</v>
      </c>
      <c r="E31" s="34" t="s">
        <v>221</v>
      </c>
    </row>
    <row r="32" customFormat="false" ht="15" hidden="false" customHeight="false" outlineLevel="0" collapsed="false">
      <c r="A32" s="30" t="s">
        <v>214</v>
      </c>
      <c r="B32" s="30" t="s">
        <v>227</v>
      </c>
      <c r="C32" s="34" t="s">
        <v>215</v>
      </c>
      <c r="D32" s="30" t="s">
        <v>220</v>
      </c>
      <c r="E32" s="34" t="s">
        <v>221</v>
      </c>
    </row>
    <row r="33" customFormat="false" ht="15" hidden="false" customHeight="false" outlineLevel="0" collapsed="false">
      <c r="A33" s="30" t="s">
        <v>214</v>
      </c>
      <c r="B33" s="30" t="s">
        <v>228</v>
      </c>
      <c r="C33" s="34" t="s">
        <v>229</v>
      </c>
      <c r="D33" s="30" t="s">
        <v>230</v>
      </c>
      <c r="E33" s="34" t="s">
        <v>221</v>
      </c>
    </row>
    <row r="34" customFormat="false" ht="15" hidden="false" customHeight="false" outlineLevel="0" collapsed="false">
      <c r="A34" s="30" t="s">
        <v>214</v>
      </c>
      <c r="B34" s="30" t="s">
        <v>231</v>
      </c>
      <c r="C34" s="34" t="s">
        <v>232</v>
      </c>
      <c r="D34" s="30" t="s">
        <v>233</v>
      </c>
      <c r="E34" s="34" t="s">
        <v>221</v>
      </c>
    </row>
    <row r="35" customFormat="false" ht="15" hidden="false" customHeight="false" outlineLevel="0" collapsed="false">
      <c r="A35" s="30" t="s">
        <v>214</v>
      </c>
      <c r="B35" s="30" t="s">
        <v>234</v>
      </c>
      <c r="C35" s="34" t="s">
        <v>232</v>
      </c>
      <c r="D35" s="30" t="s">
        <v>233</v>
      </c>
      <c r="E35" s="34" t="s">
        <v>221</v>
      </c>
    </row>
    <row r="36" customFormat="false" ht="15" hidden="false" customHeight="false" outlineLevel="0" collapsed="false">
      <c r="A36" s="30" t="s">
        <v>235</v>
      </c>
      <c r="B36" s="30" t="s">
        <v>236</v>
      </c>
      <c r="C36" s="34" t="s">
        <v>237</v>
      </c>
      <c r="D36" s="30" t="s">
        <v>233</v>
      </c>
      <c r="E36" s="34" t="s">
        <v>221</v>
      </c>
    </row>
    <row r="37" customFormat="false" ht="15" hidden="false" customHeight="false" outlineLevel="0" collapsed="false">
      <c r="A37" s="30" t="s">
        <v>235</v>
      </c>
      <c r="B37" s="30" t="s">
        <v>238</v>
      </c>
      <c r="C37" s="34" t="s">
        <v>215</v>
      </c>
      <c r="D37" s="30" t="s">
        <v>216</v>
      </c>
      <c r="E37" s="34" t="s">
        <v>239</v>
      </c>
    </row>
    <row r="38" customFormat="false" ht="15" hidden="false" customHeight="false" outlineLevel="0" collapsed="false">
      <c r="A38" s="30" t="s">
        <v>235</v>
      </c>
      <c r="B38" s="30" t="s">
        <v>240</v>
      </c>
      <c r="C38" s="34" t="s">
        <v>232</v>
      </c>
      <c r="D38" s="30" t="s">
        <v>233</v>
      </c>
      <c r="E38" s="34" t="s">
        <v>221</v>
      </c>
    </row>
    <row r="39" customFormat="false" ht="15" hidden="false" customHeight="false" outlineLevel="0" collapsed="false">
      <c r="A39" s="30" t="s">
        <v>241</v>
      </c>
      <c r="B39" s="30" t="s">
        <v>242</v>
      </c>
      <c r="C39" s="34" t="s">
        <v>232</v>
      </c>
      <c r="D39" s="30" t="s">
        <v>233</v>
      </c>
      <c r="E39" s="34" t="s">
        <v>221</v>
      </c>
    </row>
    <row r="40" customFormat="false" ht="15" hidden="false" customHeight="false" outlineLevel="0" collapsed="false">
      <c r="A40" s="30" t="s">
        <v>243</v>
      </c>
      <c r="B40" s="30" t="s">
        <v>244</v>
      </c>
      <c r="C40" s="34" t="s">
        <v>245</v>
      </c>
      <c r="D40" s="30" t="s">
        <v>216</v>
      </c>
      <c r="E40" s="34" t="s">
        <v>246</v>
      </c>
    </row>
    <row r="41" customFormat="false" ht="15" hidden="false" customHeight="false" outlineLevel="0" collapsed="false">
      <c r="A41" s="30" t="s">
        <v>243</v>
      </c>
      <c r="B41" s="30" t="s">
        <v>247</v>
      </c>
      <c r="C41" s="34" t="s">
        <v>248</v>
      </c>
      <c r="D41" s="30" t="s">
        <v>230</v>
      </c>
      <c r="E41" s="34" t="s">
        <v>221</v>
      </c>
    </row>
    <row r="42" customFormat="false" ht="15" hidden="false" customHeight="false" outlineLevel="0" collapsed="false">
      <c r="A42" s="30" t="s">
        <v>249</v>
      </c>
      <c r="B42" s="30" t="s">
        <v>250</v>
      </c>
      <c r="C42" s="34" t="s">
        <v>215</v>
      </c>
      <c r="D42" s="30" t="s">
        <v>220</v>
      </c>
      <c r="E42" s="34" t="s">
        <v>226</v>
      </c>
    </row>
    <row r="43" customFormat="false" ht="15" hidden="false" customHeight="false" outlineLevel="0" collapsed="false">
      <c r="A43" s="30" t="s">
        <v>249</v>
      </c>
      <c r="B43" s="30" t="s">
        <v>251</v>
      </c>
      <c r="C43" s="34" t="s">
        <v>252</v>
      </c>
      <c r="D43" s="30" t="s">
        <v>233</v>
      </c>
      <c r="E43" s="34" t="s">
        <v>221</v>
      </c>
    </row>
    <row r="44" customFormat="false" ht="15" hidden="false" customHeight="false" outlineLevel="0" collapsed="false">
      <c r="A44" s="30" t="s">
        <v>253</v>
      </c>
      <c r="B44" s="30" t="s">
        <v>254</v>
      </c>
      <c r="C44" s="34" t="s">
        <v>226</v>
      </c>
      <c r="D44" s="30" t="s">
        <v>230</v>
      </c>
      <c r="E44" s="34" t="s">
        <v>221</v>
      </c>
    </row>
    <row r="45" customFormat="false" ht="15" hidden="false" customHeight="false" outlineLevel="0" collapsed="false">
      <c r="A45" s="30" t="s">
        <v>253</v>
      </c>
      <c r="B45" s="30" t="s">
        <v>255</v>
      </c>
      <c r="C45" s="34" t="s">
        <v>256</v>
      </c>
      <c r="D45" s="30" t="s">
        <v>220</v>
      </c>
      <c r="E45" s="34" t="s">
        <v>257</v>
      </c>
    </row>
    <row r="46" customFormat="false" ht="15" hidden="false" customHeight="false" outlineLevel="0" collapsed="false">
      <c r="A46" s="30" t="s">
        <v>253</v>
      </c>
      <c r="B46" s="30" t="s">
        <v>258</v>
      </c>
      <c r="C46" s="34" t="s">
        <v>259</v>
      </c>
      <c r="D46" s="30" t="s">
        <v>220</v>
      </c>
      <c r="E46" s="34" t="s">
        <v>257</v>
      </c>
    </row>
    <row r="47" customFormat="false" ht="15" hidden="false" customHeight="false" outlineLevel="0" collapsed="false">
      <c r="A47" s="30" t="s">
        <v>260</v>
      </c>
      <c r="B47" s="30" t="s">
        <v>261</v>
      </c>
      <c r="C47" s="34" t="s">
        <v>262</v>
      </c>
      <c r="D47" s="30" t="s">
        <v>220</v>
      </c>
      <c r="E47" s="34" t="s">
        <v>257</v>
      </c>
    </row>
    <row r="48" customFormat="false" ht="15" hidden="false" customHeight="false" outlineLevel="0" collapsed="false">
      <c r="A48" s="30" t="s">
        <v>260</v>
      </c>
      <c r="B48" s="30" t="s">
        <v>263</v>
      </c>
      <c r="C48" s="34" t="s">
        <v>264</v>
      </c>
      <c r="D48" s="30" t="s">
        <v>220</v>
      </c>
      <c r="E48" s="34" t="s">
        <v>257</v>
      </c>
    </row>
    <row r="49" customFormat="false" ht="15" hidden="false" customHeight="false" outlineLevel="0" collapsed="false">
      <c r="A49" s="30" t="s">
        <v>260</v>
      </c>
      <c r="B49" s="30" t="s">
        <v>265</v>
      </c>
      <c r="C49" s="34" t="s">
        <v>232</v>
      </c>
      <c r="D49" s="30" t="s">
        <v>233</v>
      </c>
      <c r="E49" s="34" t="s">
        <v>221</v>
      </c>
    </row>
    <row r="50" customFormat="false" ht="15" hidden="false" customHeight="false" outlineLevel="0" collapsed="false">
      <c r="A50" s="30" t="s">
        <v>266</v>
      </c>
      <c r="B50" s="30" t="s">
        <v>267</v>
      </c>
      <c r="C50" s="34" t="s">
        <v>268</v>
      </c>
      <c r="D50" s="30" t="s">
        <v>269</v>
      </c>
      <c r="E50" s="34" t="s">
        <v>270</v>
      </c>
    </row>
    <row r="51" customFormat="false" ht="15" hidden="false" customHeight="false" outlineLevel="0" collapsed="false">
      <c r="A51" s="30" t="s">
        <v>271</v>
      </c>
      <c r="B51" s="30" t="s">
        <v>272</v>
      </c>
      <c r="C51" s="34" t="s">
        <v>215</v>
      </c>
      <c r="D51" s="30" t="s">
        <v>220</v>
      </c>
      <c r="E51" s="34" t="s">
        <v>273</v>
      </c>
    </row>
    <row r="52" customFormat="false" ht="15" hidden="false" customHeight="false" outlineLevel="0" collapsed="false">
      <c r="A52" s="30" t="s">
        <v>271</v>
      </c>
      <c r="B52" s="30" t="s">
        <v>274</v>
      </c>
      <c r="C52" s="34" t="s">
        <v>232</v>
      </c>
      <c r="D52" s="30" t="s">
        <v>233</v>
      </c>
      <c r="E52" s="34" t="s">
        <v>221</v>
      </c>
    </row>
    <row r="53" customFormat="false" ht="15" hidden="false" customHeight="false" outlineLevel="0" collapsed="false">
      <c r="A53" s="30" t="s">
        <v>275</v>
      </c>
      <c r="B53" s="30" t="s">
        <v>276</v>
      </c>
      <c r="C53" s="34" t="s">
        <v>262</v>
      </c>
      <c r="D53" s="30" t="s">
        <v>220</v>
      </c>
      <c r="E53" s="34" t="s">
        <v>257</v>
      </c>
    </row>
    <row r="54" customFormat="false" ht="15" hidden="false" customHeight="false" outlineLevel="0" collapsed="false">
      <c r="A54" s="30" t="s">
        <v>275</v>
      </c>
      <c r="B54" s="30" t="s">
        <v>277</v>
      </c>
      <c r="C54" s="34" t="s">
        <v>232</v>
      </c>
      <c r="D54" s="30" t="s">
        <v>233</v>
      </c>
      <c r="E54" s="34" t="s">
        <v>221</v>
      </c>
    </row>
    <row r="56" customFormat="false" ht="15" hidden="false" customHeight="false" outlineLevel="0" collapsed="false">
      <c r="A56" s="29" t="s">
        <v>278</v>
      </c>
      <c r="B56" s="29"/>
      <c r="C56" s="29"/>
      <c r="D56" s="29"/>
      <c r="E56" s="29"/>
    </row>
    <row r="57" customFormat="false" ht="15" hidden="false" customHeight="false" outlineLevel="0" collapsed="false">
      <c r="A57" s="35" t="s">
        <v>279</v>
      </c>
      <c r="B57" s="36" t="s">
        <v>280</v>
      </c>
      <c r="C57" s="36"/>
      <c r="D57" s="36"/>
      <c r="E57" s="36"/>
    </row>
    <row r="58" customFormat="false" ht="15" hidden="false" customHeight="false" outlineLevel="0" collapsed="false">
      <c r="A58" s="35" t="s">
        <v>281</v>
      </c>
      <c r="B58" s="36" t="s">
        <v>282</v>
      </c>
      <c r="C58" s="36"/>
      <c r="D58" s="36"/>
      <c r="E58" s="36"/>
    </row>
    <row r="59" customFormat="false" ht="15" hidden="false" customHeight="false" outlineLevel="0" collapsed="false">
      <c r="A59" s="35" t="s">
        <v>283</v>
      </c>
      <c r="B59" s="36" t="s">
        <v>284</v>
      </c>
      <c r="C59" s="36"/>
      <c r="D59" s="36"/>
      <c r="E59" s="36"/>
    </row>
    <row r="60" customFormat="false" ht="15" hidden="false" customHeight="false" outlineLevel="0" collapsed="false">
      <c r="A60" s="35" t="s">
        <v>285</v>
      </c>
      <c r="B60" s="36" t="s">
        <v>286</v>
      </c>
      <c r="C60" s="36"/>
      <c r="D60" s="36"/>
      <c r="E60" s="36"/>
    </row>
    <row r="62" customFormat="false" ht="30" hidden="false" customHeight="true" outlineLevel="0" collapsed="false">
      <c r="A62" s="28" t="s">
        <v>287</v>
      </c>
      <c r="B62" s="28"/>
      <c r="C62" s="28"/>
      <c r="D62" s="28"/>
      <c r="E62" s="28"/>
    </row>
  </sheetData>
  <mergeCells count="12">
    <mergeCell ref="A1:E1"/>
    <mergeCell ref="A2:E2"/>
    <mergeCell ref="A4:E4"/>
    <mergeCell ref="A5:E5"/>
    <mergeCell ref="A7:E7"/>
    <mergeCell ref="A24:E24"/>
    <mergeCell ref="A56:E56"/>
    <mergeCell ref="B57:E57"/>
    <mergeCell ref="B58:E58"/>
    <mergeCell ref="B59:E59"/>
    <mergeCell ref="B60:E60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8"/>
    <col collapsed="false" customWidth="true" hidden="false" outlineLevel="0" max="7" min="7" style="1" width="13"/>
    <col collapsed="false" customWidth="true" hidden="false" outlineLevel="0" max="8" min="8" style="1" width="20"/>
    <col collapsed="false" customWidth="true" hidden="false" outlineLevel="0" max="9" min="9" style="1" width="46"/>
  </cols>
  <sheetData>
    <row r="1" customFormat="false" ht="15.75" hidden="false" customHeight="true" outlineLevel="0" collapsed="false">
      <c r="A1" s="13" t="s">
        <v>288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3" t="s">
        <v>289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37" t="s">
        <v>290</v>
      </c>
      <c r="B4" s="37" t="s">
        <v>147</v>
      </c>
      <c r="C4" s="37" t="s">
        <v>291</v>
      </c>
      <c r="D4" s="37" t="s">
        <v>39</v>
      </c>
      <c r="E4" s="37" t="s">
        <v>292</v>
      </c>
      <c r="F4" s="37" t="s">
        <v>44</v>
      </c>
      <c r="G4" s="37" t="s">
        <v>293</v>
      </c>
      <c r="H4" s="37" t="s">
        <v>294</v>
      </c>
      <c r="I4" s="37" t="s">
        <v>295</v>
      </c>
    </row>
    <row r="5" customFormat="false" ht="15" hidden="false" customHeight="true" outlineLevel="0" collapsed="false">
      <c r="A5" s="38" t="n">
        <v>1</v>
      </c>
      <c r="B5" s="38" t="s">
        <v>296</v>
      </c>
      <c r="C5" s="38" t="s">
        <v>297</v>
      </c>
      <c r="D5" s="38" t="s">
        <v>78</v>
      </c>
      <c r="E5" s="39" t="n">
        <v>0.078</v>
      </c>
      <c r="F5" s="38" t="n">
        <v>447</v>
      </c>
      <c r="G5" s="38" t="s">
        <v>298</v>
      </c>
      <c r="H5" s="38" t="s">
        <v>299</v>
      </c>
      <c r="I5" s="9"/>
    </row>
    <row r="6" customFormat="false" ht="15" hidden="false" customHeight="true" outlineLevel="0" collapsed="false">
      <c r="A6" s="38" t="n">
        <v>2</v>
      </c>
      <c r="B6" s="38" t="s">
        <v>296</v>
      </c>
      <c r="C6" s="38" t="s">
        <v>297</v>
      </c>
      <c r="D6" s="38" t="s">
        <v>83</v>
      </c>
      <c r="E6" s="39" t="n">
        <v>0.146</v>
      </c>
      <c r="F6" s="38" t="n">
        <v>576</v>
      </c>
      <c r="G6" s="38" t="s">
        <v>298</v>
      </c>
      <c r="H6" s="38" t="s">
        <v>299</v>
      </c>
      <c r="I6" s="9"/>
    </row>
    <row r="7" customFormat="false" ht="15" hidden="false" customHeight="true" outlineLevel="0" collapsed="false">
      <c r="A7" s="38" t="n">
        <v>3</v>
      </c>
      <c r="B7" s="38" t="s">
        <v>296</v>
      </c>
      <c r="C7" s="38" t="s">
        <v>297</v>
      </c>
      <c r="D7" s="38" t="s">
        <v>46</v>
      </c>
      <c r="E7" s="39" t="n">
        <v>0.277</v>
      </c>
      <c r="F7" s="38" t="n">
        <v>4512</v>
      </c>
      <c r="G7" s="38" t="s">
        <v>300</v>
      </c>
      <c r="H7" s="38" t="s">
        <v>299</v>
      </c>
      <c r="I7" s="9"/>
    </row>
    <row r="8" customFormat="false" ht="15" hidden="false" customHeight="true" outlineLevel="0" collapsed="false">
      <c r="A8" s="38" t="n">
        <v>4</v>
      </c>
      <c r="B8" s="38" t="s">
        <v>301</v>
      </c>
      <c r="C8" s="38" t="s">
        <v>297</v>
      </c>
      <c r="D8" s="38" t="s">
        <v>78</v>
      </c>
      <c r="E8" s="39" t="n">
        <v>0.296</v>
      </c>
      <c r="F8" s="38" t="n">
        <v>541</v>
      </c>
      <c r="G8" s="38" t="s">
        <v>300</v>
      </c>
      <c r="H8" s="38" t="s">
        <v>302</v>
      </c>
      <c r="I8" s="9" t="s">
        <v>303</v>
      </c>
    </row>
    <row r="9" customFormat="false" ht="15" hidden="false" customHeight="true" outlineLevel="0" collapsed="false">
      <c r="A9" s="38" t="n">
        <v>5</v>
      </c>
      <c r="B9" s="38" t="s">
        <v>296</v>
      </c>
      <c r="C9" s="38" t="s">
        <v>297</v>
      </c>
      <c r="D9" s="38" t="s">
        <v>304</v>
      </c>
      <c r="E9" s="39" t="n">
        <v>0.333</v>
      </c>
      <c r="F9" s="38" t="n">
        <v>87</v>
      </c>
      <c r="G9" s="38" t="s">
        <v>300</v>
      </c>
      <c r="H9" s="38" t="s">
        <v>299</v>
      </c>
      <c r="I9" s="9"/>
    </row>
    <row r="10" customFormat="false" ht="15" hidden="false" customHeight="true" outlineLevel="0" collapsed="false">
      <c r="A10" s="38" t="n">
        <v>6</v>
      </c>
      <c r="B10" s="38" t="s">
        <v>296</v>
      </c>
      <c r="C10" s="38" t="s">
        <v>297</v>
      </c>
      <c r="D10" s="38" t="s">
        <v>58</v>
      </c>
      <c r="E10" s="39" t="n">
        <v>0.342</v>
      </c>
      <c r="F10" s="38" t="n">
        <v>3407</v>
      </c>
      <c r="G10" s="38" t="s">
        <v>300</v>
      </c>
      <c r="H10" s="38" t="s">
        <v>299</v>
      </c>
      <c r="I10" s="9"/>
    </row>
    <row r="11" customFormat="false" ht="15" hidden="false" customHeight="true" outlineLevel="0" collapsed="false">
      <c r="A11" s="38" t="n">
        <v>7</v>
      </c>
      <c r="B11" s="38" t="s">
        <v>305</v>
      </c>
      <c r="C11" s="38" t="s">
        <v>297</v>
      </c>
      <c r="D11" s="38" t="s">
        <v>78</v>
      </c>
      <c r="E11" s="39" t="n">
        <v>0.349</v>
      </c>
      <c r="F11" s="38" t="n">
        <v>261</v>
      </c>
      <c r="G11" s="38" t="s">
        <v>298</v>
      </c>
      <c r="H11" s="38" t="s">
        <v>302</v>
      </c>
      <c r="I11" s="9" t="s">
        <v>306</v>
      </c>
    </row>
    <row r="12" customFormat="false" ht="15" hidden="false" customHeight="true" outlineLevel="0" collapsed="false">
      <c r="A12" s="38" t="n">
        <v>8</v>
      </c>
      <c r="B12" s="38" t="s">
        <v>301</v>
      </c>
      <c r="C12" s="38" t="s">
        <v>297</v>
      </c>
      <c r="D12" s="38" t="s">
        <v>83</v>
      </c>
      <c r="E12" s="39" t="n">
        <v>0.369</v>
      </c>
      <c r="F12" s="38" t="n">
        <v>84</v>
      </c>
      <c r="G12" s="38" t="s">
        <v>298</v>
      </c>
      <c r="H12" s="38" t="s">
        <v>302</v>
      </c>
      <c r="I12" s="9"/>
    </row>
    <row r="13" customFormat="false" ht="15" hidden="false" customHeight="true" outlineLevel="0" collapsed="false">
      <c r="A13" s="38" t="n">
        <v>9</v>
      </c>
      <c r="B13" s="38" t="s">
        <v>305</v>
      </c>
      <c r="C13" s="38" t="s">
        <v>297</v>
      </c>
      <c r="D13" s="38" t="s">
        <v>83</v>
      </c>
      <c r="E13" s="39" t="n">
        <v>0.431</v>
      </c>
      <c r="F13" s="38" t="n">
        <v>51</v>
      </c>
      <c r="G13" s="38" t="s">
        <v>307</v>
      </c>
      <c r="H13" s="38" t="s">
        <v>308</v>
      </c>
      <c r="I13" s="9"/>
    </row>
    <row r="14" customFormat="false" ht="15" hidden="false" customHeight="true" outlineLevel="0" collapsed="false">
      <c r="A14" s="38" t="n">
        <v>10</v>
      </c>
      <c r="B14" s="38" t="s">
        <v>296</v>
      </c>
      <c r="C14" s="38" t="s">
        <v>297</v>
      </c>
      <c r="D14" s="38" t="s">
        <v>309</v>
      </c>
      <c r="E14" s="39" t="n">
        <v>0.458</v>
      </c>
      <c r="F14" s="38" t="n">
        <v>83</v>
      </c>
      <c r="G14" s="38" t="s">
        <v>300</v>
      </c>
      <c r="H14" s="38" t="s">
        <v>299</v>
      </c>
      <c r="I14" s="9"/>
    </row>
    <row r="15" customFormat="false" ht="15" hidden="false" customHeight="true" outlineLevel="0" collapsed="false">
      <c r="A15" s="38" t="n">
        <v>11</v>
      </c>
      <c r="B15" s="38" t="s">
        <v>301</v>
      </c>
      <c r="C15" s="38" t="s">
        <v>297</v>
      </c>
      <c r="D15" s="38" t="s">
        <v>58</v>
      </c>
      <c r="E15" s="39" t="n">
        <v>0.523</v>
      </c>
      <c r="F15" s="38" t="n">
        <v>44</v>
      </c>
      <c r="G15" s="38" t="s">
        <v>111</v>
      </c>
      <c r="H15" s="38" t="s">
        <v>308</v>
      </c>
      <c r="I15" s="9"/>
    </row>
    <row r="16" customFormat="false" ht="15" hidden="false" customHeight="true" outlineLevel="0" collapsed="false">
      <c r="A16" s="38" t="n">
        <v>12</v>
      </c>
      <c r="B16" s="38" t="s">
        <v>301</v>
      </c>
      <c r="C16" s="38" t="s">
        <v>310</v>
      </c>
      <c r="D16" s="38" t="s">
        <v>58</v>
      </c>
      <c r="E16" s="39" t="n">
        <v>0.523</v>
      </c>
      <c r="F16" s="38" t="n">
        <v>430</v>
      </c>
      <c r="G16" s="38" t="s">
        <v>300</v>
      </c>
      <c r="H16" s="38" t="s">
        <v>308</v>
      </c>
      <c r="I16" s="9"/>
    </row>
    <row r="17" customFormat="false" ht="15" hidden="false" customHeight="true" outlineLevel="0" collapsed="false">
      <c r="A17" s="38" t="n">
        <v>13</v>
      </c>
      <c r="B17" s="38" t="s">
        <v>301</v>
      </c>
      <c r="C17" s="38" t="s">
        <v>310</v>
      </c>
      <c r="D17" s="38" t="s">
        <v>46</v>
      </c>
      <c r="E17" s="39" t="n">
        <v>0.539</v>
      </c>
      <c r="F17" s="38" t="n">
        <v>76</v>
      </c>
      <c r="G17" s="38" t="s">
        <v>111</v>
      </c>
      <c r="H17" s="38" t="s">
        <v>308</v>
      </c>
      <c r="I17" s="9"/>
    </row>
    <row r="18" customFormat="false" ht="15" hidden="false" customHeight="true" outlineLevel="0" collapsed="false">
      <c r="A18" s="38" t="n">
        <v>14</v>
      </c>
      <c r="B18" s="38" t="s">
        <v>301</v>
      </c>
      <c r="C18" s="38" t="s">
        <v>297</v>
      </c>
      <c r="D18" s="38" t="s">
        <v>46</v>
      </c>
      <c r="E18" s="39" t="n">
        <v>0.548</v>
      </c>
      <c r="F18" s="38" t="n">
        <v>62</v>
      </c>
      <c r="G18" s="38" t="s">
        <v>111</v>
      </c>
      <c r="H18" s="38" t="s">
        <v>311</v>
      </c>
      <c r="I18" s="9" t="s">
        <v>312</v>
      </c>
    </row>
    <row r="19" customFormat="false" ht="15" hidden="false" customHeight="true" outlineLevel="0" collapsed="false">
      <c r="A19" s="38" t="n">
        <v>15</v>
      </c>
      <c r="B19" s="38" t="s">
        <v>305</v>
      </c>
      <c r="C19" s="38" t="s">
        <v>297</v>
      </c>
      <c r="D19" s="38" t="s">
        <v>46</v>
      </c>
      <c r="E19" s="39" t="n">
        <v>0.783</v>
      </c>
      <c r="F19" s="38" t="n">
        <v>120</v>
      </c>
      <c r="G19" s="38" t="s">
        <v>108</v>
      </c>
      <c r="H19" s="38" t="s">
        <v>313</v>
      </c>
      <c r="I19" s="9" t="s">
        <v>314</v>
      </c>
    </row>
    <row r="20" customFormat="false" ht="15" hidden="false" customHeight="true" outlineLevel="0" collapsed="false">
      <c r="A20" s="38" t="n">
        <v>16</v>
      </c>
      <c r="B20" s="38" t="s">
        <v>305</v>
      </c>
      <c r="C20" s="38" t="s">
        <v>297</v>
      </c>
      <c r="D20" s="38" t="s">
        <v>58</v>
      </c>
      <c r="E20" s="39" t="n">
        <v>0.812</v>
      </c>
      <c r="F20" s="38" t="n">
        <v>69</v>
      </c>
      <c r="G20" s="38" t="s">
        <v>108</v>
      </c>
      <c r="H20" s="38" t="s">
        <v>313</v>
      </c>
      <c r="I20" s="9" t="s">
        <v>315</v>
      </c>
    </row>
    <row r="21" customFormat="false" ht="15" hidden="false" customHeight="true" outlineLevel="0" collapsed="false">
      <c r="A21" s="38" t="n">
        <v>17</v>
      </c>
      <c r="B21" s="38" t="s">
        <v>301</v>
      </c>
      <c r="C21" s="38" t="s">
        <v>310</v>
      </c>
      <c r="D21" s="38" t="s">
        <v>83</v>
      </c>
      <c r="E21" s="39" t="n">
        <v>0.9</v>
      </c>
      <c r="F21" s="38" t="n">
        <v>50</v>
      </c>
      <c r="G21" s="38" t="s">
        <v>300</v>
      </c>
      <c r="H21" s="38" t="s">
        <v>313</v>
      </c>
      <c r="I21" s="9"/>
    </row>
    <row r="22" customFormat="false" ht="15" hidden="false" customHeight="true" outlineLevel="0" collapsed="false">
      <c r="A22" s="38" t="n">
        <v>18</v>
      </c>
      <c r="B22" s="38" t="s">
        <v>301</v>
      </c>
      <c r="C22" s="38" t="s">
        <v>310</v>
      </c>
      <c r="D22" s="38" t="s">
        <v>78</v>
      </c>
      <c r="E22" s="39" t="n">
        <v>0.906</v>
      </c>
      <c r="F22" s="38" t="n">
        <v>96</v>
      </c>
      <c r="G22" s="38" t="s">
        <v>300</v>
      </c>
      <c r="H22" s="38" t="s">
        <v>313</v>
      </c>
      <c r="I22" s="9"/>
    </row>
    <row r="24" customFormat="false" ht="15" hidden="false" customHeight="true" outlineLevel="0" collapsed="false">
      <c r="A24" s="12" t="s">
        <v>316</v>
      </c>
      <c r="B24" s="12"/>
      <c r="C24" s="12"/>
      <c r="D24" s="12"/>
      <c r="E24" s="12"/>
      <c r="F24" s="12"/>
      <c r="G24" s="12"/>
      <c r="H24" s="12"/>
      <c r="I24" s="12"/>
    </row>
  </sheetData>
  <mergeCells count="3">
    <mergeCell ref="A1:I1"/>
    <mergeCell ref="A2:I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4"/>
  </cols>
  <sheetData>
    <row r="1" customFormat="false" ht="15.75" hidden="false" customHeight="true" outlineLevel="0" collapsed="false">
      <c r="A1" s="13" t="s">
        <v>317</v>
      </c>
      <c r="B1" s="13"/>
      <c r="C1" s="13"/>
      <c r="D1" s="13"/>
      <c r="E1" s="13"/>
    </row>
    <row r="3" customFormat="false" ht="15" hidden="false" customHeight="true" outlineLevel="0" collapsed="false">
      <c r="A3" s="6" t="s">
        <v>318</v>
      </c>
    </row>
    <row r="4" customFormat="false" ht="15" hidden="false" customHeight="true" outlineLevel="0" collapsed="false">
      <c r="A4" s="37" t="s">
        <v>41</v>
      </c>
      <c r="B4" s="37" t="s">
        <v>319</v>
      </c>
      <c r="C4" s="37" t="s">
        <v>44</v>
      </c>
    </row>
    <row r="5" customFormat="false" ht="15" hidden="false" customHeight="true" outlineLevel="0" collapsed="false">
      <c r="A5" s="38" t="s">
        <v>320</v>
      </c>
      <c r="B5" s="39" t="n">
        <v>0.906</v>
      </c>
      <c r="C5" s="38" t="n">
        <v>96</v>
      </c>
    </row>
    <row r="6" customFormat="false" ht="15" hidden="false" customHeight="true" outlineLevel="0" collapsed="false">
      <c r="A6" s="38" t="s">
        <v>307</v>
      </c>
      <c r="B6" s="39" t="n">
        <v>0.933</v>
      </c>
      <c r="C6" s="38" t="n">
        <v>15</v>
      </c>
    </row>
    <row r="7" customFormat="false" ht="15" hidden="false" customHeight="true" outlineLevel="0" collapsed="false">
      <c r="A7" s="38" t="s">
        <v>111</v>
      </c>
      <c r="B7" s="39" t="n">
        <v>0.857</v>
      </c>
      <c r="C7" s="38" t="n">
        <v>21</v>
      </c>
    </row>
    <row r="9" customFormat="false" ht="15" hidden="false" customHeight="true" outlineLevel="0" collapsed="false">
      <c r="A9" s="6" t="s">
        <v>321</v>
      </c>
    </row>
    <row r="10" customFormat="false" ht="15" hidden="false" customHeight="true" outlineLevel="0" collapsed="false">
      <c r="A10" s="37"/>
      <c r="B10" s="37"/>
      <c r="C10" s="37"/>
    </row>
    <row r="11" customFormat="false" ht="15" hidden="false" customHeight="true" outlineLevel="0" collapsed="false">
      <c r="A11" s="38" t="s">
        <v>322</v>
      </c>
      <c r="B11" s="39" t="n">
        <v>0.349</v>
      </c>
      <c r="C11" s="38" t="n">
        <v>261</v>
      </c>
    </row>
    <row r="12" customFormat="false" ht="15" hidden="false" customHeight="true" outlineLevel="0" collapsed="false">
      <c r="A12" s="38" t="s">
        <v>111</v>
      </c>
      <c r="B12" s="39" t="n">
        <v>0.1</v>
      </c>
      <c r="C12" s="38" t="n">
        <v>40</v>
      </c>
    </row>
    <row r="13" customFormat="false" ht="15" hidden="false" customHeight="true" outlineLevel="0" collapsed="false">
      <c r="A13" s="38" t="s">
        <v>323</v>
      </c>
      <c r="B13" s="39" t="n">
        <v>0.727</v>
      </c>
      <c r="C13" s="38" t="n">
        <v>11</v>
      </c>
    </row>
    <row r="14" customFormat="false" ht="15" hidden="false" customHeight="true" outlineLevel="0" collapsed="false">
      <c r="A14" s="38" t="s">
        <v>324</v>
      </c>
      <c r="B14" s="39" t="n">
        <v>0.625</v>
      </c>
      <c r="C14" s="38" t="n">
        <v>8</v>
      </c>
    </row>
    <row r="15" customFormat="false" ht="15" hidden="false" customHeight="true" outlineLevel="0" collapsed="false">
      <c r="A15" s="38" t="s">
        <v>325</v>
      </c>
      <c r="B15" s="39" t="n">
        <v>0.5</v>
      </c>
      <c r="C15" s="38" t="n">
        <v>12</v>
      </c>
    </row>
    <row r="16" customFormat="false" ht="15" hidden="false" customHeight="true" outlineLevel="0" collapsed="false">
      <c r="A16" s="38" t="s">
        <v>326</v>
      </c>
      <c r="B16" s="38" t="s">
        <v>327</v>
      </c>
      <c r="C16" s="38"/>
    </row>
    <row r="18" customFormat="false" ht="15" hidden="false" customHeight="true" outlineLevel="0" collapsed="false">
      <c r="A18" s="6" t="s">
        <v>328</v>
      </c>
    </row>
    <row r="19" customFormat="false" ht="15" hidden="false" customHeight="true" outlineLevel="0" collapsed="false">
      <c r="A19" s="37"/>
      <c r="B19" s="37"/>
      <c r="C19" s="37"/>
    </row>
    <row r="20" customFormat="false" ht="15" hidden="false" customHeight="true" outlineLevel="0" collapsed="false">
      <c r="A20" s="38" t="s">
        <v>329</v>
      </c>
      <c r="B20" s="39" t="n">
        <v>0.296</v>
      </c>
      <c r="C20" s="38" t="n">
        <v>541</v>
      </c>
    </row>
    <row r="21" customFormat="false" ht="15" hidden="false" customHeight="true" outlineLevel="0" collapsed="false">
      <c r="A21" s="38" t="s">
        <v>298</v>
      </c>
      <c r="B21" s="39" t="n">
        <v>0.265</v>
      </c>
      <c r="C21" s="38" t="s">
        <v>270</v>
      </c>
    </row>
    <row r="23" customFormat="false" ht="15" hidden="false" customHeight="true" outlineLevel="0" collapsed="false">
      <c r="A23" s="12" t="s">
        <v>330</v>
      </c>
      <c r="B23" s="12"/>
      <c r="C23" s="12"/>
      <c r="D23" s="12"/>
      <c r="E23" s="12"/>
    </row>
  </sheetData>
  <mergeCells count="2">
    <mergeCell ref="A1:E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13" t="s">
        <v>331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3" t="s">
        <v>332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22" t="s">
        <v>333</v>
      </c>
      <c r="B4" s="22" t="s">
        <v>40</v>
      </c>
      <c r="C4" s="22" t="s">
        <v>42</v>
      </c>
      <c r="D4" s="22" t="s">
        <v>148</v>
      </c>
      <c r="E4" s="22" t="s">
        <v>334</v>
      </c>
      <c r="F4" s="22" t="s">
        <v>335</v>
      </c>
      <c r="G4" s="22" t="s">
        <v>295</v>
      </c>
    </row>
    <row r="5" customFormat="false" ht="15" hidden="false" customHeight="true" outlineLevel="0" collapsed="false">
      <c r="A5" s="15" t="s">
        <v>58</v>
      </c>
      <c r="B5" s="15" t="s">
        <v>47</v>
      </c>
      <c r="C5" s="16" t="n">
        <v>0.663</v>
      </c>
      <c r="D5" s="15" t="n">
        <v>2438</v>
      </c>
      <c r="E5" s="15" t="n">
        <v>3678</v>
      </c>
      <c r="F5" s="15" t="n">
        <v>935</v>
      </c>
      <c r="G5" s="9"/>
    </row>
    <row r="6" customFormat="false" ht="15" hidden="false" customHeight="true" outlineLevel="0" collapsed="false">
      <c r="A6" s="15" t="s">
        <v>58</v>
      </c>
      <c r="B6" s="15" t="s">
        <v>100</v>
      </c>
      <c r="C6" s="16" t="n">
        <v>0.502</v>
      </c>
      <c r="D6" s="15" t="n">
        <v>647</v>
      </c>
      <c r="E6" s="15" t="n">
        <v>1289</v>
      </c>
      <c r="F6" s="15" t="n">
        <v>587</v>
      </c>
      <c r="G6" s="9"/>
    </row>
    <row r="7" customFormat="false" ht="15" hidden="false" customHeight="true" outlineLevel="0" collapsed="false">
      <c r="A7" s="15" t="s">
        <v>58</v>
      </c>
      <c r="B7" s="15" t="s">
        <v>205</v>
      </c>
      <c r="C7" s="16" t="n">
        <v>0.563</v>
      </c>
      <c r="D7" s="15" t="n">
        <v>301</v>
      </c>
      <c r="E7" s="15" t="n">
        <v>535</v>
      </c>
      <c r="F7" s="15" t="n">
        <v>136</v>
      </c>
      <c r="G7" s="9"/>
    </row>
    <row r="8" customFormat="false" ht="15" hidden="false" customHeight="true" outlineLevel="0" collapsed="false">
      <c r="A8" s="15" t="s">
        <v>58</v>
      </c>
      <c r="B8" s="15" t="s">
        <v>336</v>
      </c>
      <c r="C8" s="16" t="n">
        <v>0.325</v>
      </c>
      <c r="D8" s="15" t="n">
        <v>1326</v>
      </c>
      <c r="E8" s="15" t="n">
        <v>4083</v>
      </c>
      <c r="F8" s="15" t="n">
        <v>1017</v>
      </c>
      <c r="G8" s="9"/>
    </row>
    <row r="9" customFormat="false" ht="15" hidden="false" customHeight="true" outlineLevel="0" collapsed="false">
      <c r="A9" s="15" t="s">
        <v>337</v>
      </c>
      <c r="B9" s="15" t="s">
        <v>47</v>
      </c>
      <c r="C9" s="16" t="n">
        <v>0.739</v>
      </c>
      <c r="D9" s="15" t="n">
        <v>3365</v>
      </c>
      <c r="E9" s="15" t="n">
        <v>4551</v>
      </c>
      <c r="F9" s="15" t="n">
        <v>1150</v>
      </c>
      <c r="G9" s="9"/>
    </row>
    <row r="10" customFormat="false" ht="15" hidden="false" customHeight="true" outlineLevel="0" collapsed="false">
      <c r="A10" s="15" t="s">
        <v>337</v>
      </c>
      <c r="B10" s="15" t="s">
        <v>100</v>
      </c>
      <c r="C10" s="16" t="n">
        <v>0.511</v>
      </c>
      <c r="D10" s="15" t="n">
        <v>638</v>
      </c>
      <c r="E10" s="15" t="n">
        <v>1249</v>
      </c>
      <c r="F10" s="15" t="n">
        <v>473</v>
      </c>
      <c r="G10" s="9"/>
    </row>
    <row r="11" customFormat="false" ht="15" hidden="false" customHeight="true" outlineLevel="0" collapsed="false">
      <c r="A11" s="15" t="s">
        <v>337</v>
      </c>
      <c r="B11" s="15" t="s">
        <v>205</v>
      </c>
      <c r="C11" s="16" t="n">
        <v>0.505</v>
      </c>
      <c r="D11" s="15" t="n">
        <v>331</v>
      </c>
      <c r="E11" s="15" t="n">
        <v>656</v>
      </c>
      <c r="F11" s="15" t="n">
        <v>154</v>
      </c>
      <c r="G11" s="9"/>
    </row>
    <row r="12" customFormat="false" ht="15" hidden="false" customHeight="true" outlineLevel="0" collapsed="false">
      <c r="A12" s="15" t="s">
        <v>337</v>
      </c>
      <c r="B12" s="15" t="s">
        <v>336</v>
      </c>
      <c r="C12" s="16" t="n">
        <v>0.288</v>
      </c>
      <c r="D12" s="15" t="n">
        <v>1664</v>
      </c>
      <c r="E12" s="15" t="n">
        <v>5771</v>
      </c>
      <c r="F12" s="15" t="n">
        <v>1422</v>
      </c>
      <c r="G12" s="9"/>
    </row>
    <row r="13" customFormat="false" ht="15" hidden="false" customHeight="true" outlineLevel="0" collapsed="false">
      <c r="A13" s="15" t="s">
        <v>338</v>
      </c>
      <c r="B13" s="15" t="s">
        <v>100</v>
      </c>
      <c r="C13" s="15"/>
      <c r="D13" s="15" t="n">
        <v>0</v>
      </c>
      <c r="E13" s="15" t="n">
        <v>0</v>
      </c>
      <c r="F13" s="15" t="n">
        <v>52</v>
      </c>
      <c r="G13" s="9"/>
    </row>
    <row r="14" customFormat="false" ht="15" hidden="false" customHeight="true" outlineLevel="0" collapsed="false">
      <c r="A14" s="15" t="s">
        <v>309</v>
      </c>
      <c r="B14" s="15" t="s">
        <v>336</v>
      </c>
      <c r="C14" s="16" t="n">
        <v>0.458</v>
      </c>
      <c r="D14" s="15" t="n">
        <v>38</v>
      </c>
      <c r="E14" s="15" t="n">
        <v>83</v>
      </c>
      <c r="F14" s="15" t="n">
        <v>0</v>
      </c>
      <c r="G14" s="9"/>
    </row>
    <row r="15" customFormat="false" ht="15" hidden="false" customHeight="true" outlineLevel="0" collapsed="false">
      <c r="A15" s="15" t="s">
        <v>78</v>
      </c>
      <c r="B15" s="15" t="s">
        <v>47</v>
      </c>
      <c r="C15" s="16" t="n">
        <v>0.146</v>
      </c>
      <c r="D15" s="15" t="n">
        <v>438</v>
      </c>
      <c r="E15" s="15" t="n">
        <v>2991</v>
      </c>
      <c r="F15" s="15" t="n">
        <v>989</v>
      </c>
      <c r="G15" s="9"/>
    </row>
    <row r="16" customFormat="false" ht="15" hidden="false" customHeight="true" outlineLevel="0" collapsed="false">
      <c r="A16" s="15" t="s">
        <v>78</v>
      </c>
      <c r="B16" s="15" t="s">
        <v>100</v>
      </c>
      <c r="C16" s="16" t="n">
        <v>0.245</v>
      </c>
      <c r="D16" s="15" t="n">
        <v>144</v>
      </c>
      <c r="E16" s="15" t="n">
        <v>587</v>
      </c>
      <c r="F16" s="15" t="n">
        <v>155</v>
      </c>
      <c r="G16" s="9"/>
    </row>
    <row r="17" customFormat="false" ht="15" hidden="false" customHeight="true" outlineLevel="0" collapsed="false">
      <c r="A17" s="15" t="s">
        <v>78</v>
      </c>
      <c r="B17" s="15" t="s">
        <v>205</v>
      </c>
      <c r="C17" s="16" t="n">
        <v>0.906</v>
      </c>
      <c r="D17" s="15" t="n">
        <v>87</v>
      </c>
      <c r="E17" s="15" t="n">
        <v>96</v>
      </c>
      <c r="F17" s="15" t="n">
        <v>34</v>
      </c>
      <c r="G17" s="9"/>
    </row>
    <row r="18" customFormat="false" ht="15" hidden="false" customHeight="true" outlineLevel="0" collapsed="false">
      <c r="A18" s="15" t="s">
        <v>78</v>
      </c>
      <c r="B18" s="15" t="s">
        <v>336</v>
      </c>
      <c r="C18" s="16" t="n">
        <v>0.056</v>
      </c>
      <c r="D18" s="15" t="n">
        <v>293</v>
      </c>
      <c r="E18" s="15" t="n">
        <v>5197</v>
      </c>
      <c r="F18" s="15" t="n">
        <v>1700</v>
      </c>
      <c r="G18" s="9"/>
    </row>
    <row r="19" customFormat="false" ht="15" hidden="false" customHeight="true" outlineLevel="0" collapsed="false">
      <c r="A19" s="15" t="s">
        <v>339</v>
      </c>
      <c r="B19" s="15" t="s">
        <v>56</v>
      </c>
      <c r="C19" s="40"/>
      <c r="D19" s="40"/>
      <c r="E19" s="40"/>
      <c r="F19" s="40"/>
      <c r="G19" s="9" t="s">
        <v>340</v>
      </c>
    </row>
    <row r="20" customFormat="false" ht="15" hidden="false" customHeight="true" outlineLevel="0" collapsed="false">
      <c r="A20" s="15" t="s">
        <v>341</v>
      </c>
      <c r="B20" s="15" t="s">
        <v>100</v>
      </c>
      <c r="C20" s="16" t="n">
        <v>0</v>
      </c>
      <c r="D20" s="15" t="n">
        <v>0</v>
      </c>
      <c r="E20" s="15" t="n">
        <v>1</v>
      </c>
      <c r="F20" s="15" t="n">
        <v>0</v>
      </c>
      <c r="G20" s="9"/>
    </row>
    <row r="21" customFormat="false" ht="15" hidden="false" customHeight="true" outlineLevel="0" collapsed="false">
      <c r="A21" s="15" t="s">
        <v>341</v>
      </c>
      <c r="B21" s="15" t="s">
        <v>205</v>
      </c>
      <c r="C21" s="16" t="n">
        <v>0.5</v>
      </c>
      <c r="D21" s="15" t="n">
        <v>1</v>
      </c>
      <c r="E21" s="15" t="n">
        <v>2</v>
      </c>
      <c r="F21" s="15" t="n">
        <v>0</v>
      </c>
      <c r="G21" s="9"/>
    </row>
    <row r="22" customFormat="false" ht="15" hidden="false" customHeight="true" outlineLevel="0" collapsed="false">
      <c r="A22" s="15" t="s">
        <v>341</v>
      </c>
      <c r="B22" s="15" t="s">
        <v>336</v>
      </c>
      <c r="C22" s="16" t="n">
        <v>0.333</v>
      </c>
      <c r="D22" s="15" t="n">
        <v>29</v>
      </c>
      <c r="E22" s="15" t="n">
        <v>87</v>
      </c>
      <c r="F22" s="15" t="n">
        <v>0</v>
      </c>
      <c r="G22" s="9"/>
    </row>
    <row r="23" customFormat="false" ht="15" hidden="false" customHeight="true" outlineLevel="0" collapsed="false">
      <c r="A23" s="15" t="s">
        <v>342</v>
      </c>
      <c r="B23" s="15" t="s">
        <v>56</v>
      </c>
      <c r="C23" s="40"/>
      <c r="D23" s="40"/>
      <c r="E23" s="40"/>
      <c r="F23" s="40"/>
      <c r="G23" s="9" t="s">
        <v>340</v>
      </c>
    </row>
    <row r="24" customFormat="false" ht="15" hidden="false" customHeight="true" outlineLevel="0" collapsed="false">
      <c r="A24" s="15" t="s">
        <v>343</v>
      </c>
      <c r="B24" s="15" t="s">
        <v>56</v>
      </c>
      <c r="C24" s="40"/>
      <c r="D24" s="40"/>
      <c r="E24" s="40"/>
      <c r="F24" s="40"/>
      <c r="G24" s="9" t="s">
        <v>340</v>
      </c>
    </row>
    <row r="25" customFormat="false" ht="15" hidden="false" customHeight="true" outlineLevel="0" collapsed="false">
      <c r="A25" s="15" t="s">
        <v>344</v>
      </c>
      <c r="B25" s="15" t="s">
        <v>47</v>
      </c>
      <c r="C25" s="16" t="n">
        <v>0</v>
      </c>
      <c r="D25" s="15" t="n">
        <v>0</v>
      </c>
      <c r="E25" s="15" t="n">
        <v>27</v>
      </c>
      <c r="F25" s="15" t="n">
        <v>0</v>
      </c>
      <c r="G25" s="9"/>
    </row>
    <row r="26" customFormat="false" ht="15" hidden="false" customHeight="true" outlineLevel="0" collapsed="false">
      <c r="A26" s="15" t="s">
        <v>344</v>
      </c>
      <c r="B26" s="15" t="s">
        <v>100</v>
      </c>
      <c r="C26" s="16" t="n">
        <v>0</v>
      </c>
      <c r="D26" s="15" t="n">
        <v>0</v>
      </c>
      <c r="E26" s="15" t="n">
        <v>4</v>
      </c>
      <c r="F26" s="15" t="n">
        <v>0</v>
      </c>
      <c r="G26" s="9"/>
    </row>
    <row r="27" customFormat="false" ht="15" hidden="false" customHeight="true" outlineLevel="0" collapsed="false">
      <c r="A27" s="15" t="s">
        <v>344</v>
      </c>
      <c r="B27" s="15" t="s">
        <v>336</v>
      </c>
      <c r="C27" s="16" t="n">
        <v>0</v>
      </c>
      <c r="D27" s="15" t="n">
        <v>0</v>
      </c>
      <c r="E27" s="15" t="n">
        <v>17</v>
      </c>
      <c r="F27" s="15" t="n">
        <v>0</v>
      </c>
      <c r="G27" s="9"/>
    </row>
    <row r="28" customFormat="false" ht="15" hidden="false" customHeight="true" outlineLevel="0" collapsed="false">
      <c r="A28" s="15" t="s">
        <v>83</v>
      </c>
      <c r="B28" s="15" t="s">
        <v>47</v>
      </c>
      <c r="C28" s="16" t="n">
        <v>0.188</v>
      </c>
      <c r="D28" s="15" t="n">
        <v>544</v>
      </c>
      <c r="E28" s="15" t="n">
        <v>2898</v>
      </c>
      <c r="F28" s="15" t="n">
        <v>1034</v>
      </c>
      <c r="G28" s="9"/>
    </row>
    <row r="29" customFormat="false" ht="15" hidden="false" customHeight="true" outlineLevel="0" collapsed="false">
      <c r="A29" s="15" t="s">
        <v>83</v>
      </c>
      <c r="B29" s="15" t="s">
        <v>100</v>
      </c>
      <c r="C29" s="16" t="n">
        <v>0.302</v>
      </c>
      <c r="D29" s="15" t="n">
        <v>194</v>
      </c>
      <c r="E29" s="15" t="n">
        <v>643</v>
      </c>
      <c r="F29" s="15" t="n">
        <v>202</v>
      </c>
      <c r="G29" s="9"/>
    </row>
    <row r="30" customFormat="false" ht="15" hidden="false" customHeight="true" outlineLevel="0" collapsed="false">
      <c r="A30" s="15" t="s">
        <v>83</v>
      </c>
      <c r="B30" s="15" t="s">
        <v>205</v>
      </c>
      <c r="C30" s="16" t="n">
        <v>0.9</v>
      </c>
      <c r="D30" s="15" t="n">
        <v>45</v>
      </c>
      <c r="E30" s="15" t="n">
        <v>50</v>
      </c>
      <c r="F30" s="15" t="n">
        <v>3</v>
      </c>
      <c r="G30" s="9"/>
    </row>
    <row r="31" customFormat="false" ht="15" hidden="false" customHeight="true" outlineLevel="0" collapsed="false">
      <c r="A31" s="15" t="s">
        <v>83</v>
      </c>
      <c r="B31" s="15" t="s">
        <v>336</v>
      </c>
      <c r="C31" s="16" t="n">
        <v>0.055</v>
      </c>
      <c r="D31" s="15" t="n">
        <v>367</v>
      </c>
      <c r="E31" s="15" t="n">
        <v>6683</v>
      </c>
      <c r="F31" s="15" t="n">
        <v>2235</v>
      </c>
      <c r="G31" s="9"/>
    </row>
    <row r="33" customFormat="false" ht="15" hidden="false" customHeight="true" outlineLevel="0" collapsed="false">
      <c r="A33" s="41" t="s">
        <v>345</v>
      </c>
      <c r="B33" s="41"/>
      <c r="C33" s="41"/>
      <c r="D33" s="41"/>
      <c r="E33" s="41"/>
      <c r="F33" s="41"/>
      <c r="G33" s="41"/>
    </row>
    <row r="34" customFormat="false" ht="15" hidden="false" customHeight="true" outlineLevel="0" collapsed="false">
      <c r="A34" s="12" t="s">
        <v>346</v>
      </c>
      <c r="B34" s="12"/>
      <c r="C34" s="12"/>
      <c r="D34" s="12"/>
      <c r="E34" s="12"/>
      <c r="F34" s="12"/>
      <c r="G34" s="12"/>
    </row>
    <row r="35" customFormat="false" ht="15" hidden="false" customHeight="true" outlineLevel="0" collapsed="false">
      <c r="A35" s="12" t="s">
        <v>347</v>
      </c>
      <c r="B35" s="12"/>
      <c r="C35" s="12"/>
      <c r="D35" s="12"/>
      <c r="E35" s="12"/>
      <c r="F35" s="12"/>
      <c r="G35" s="12"/>
    </row>
  </sheetData>
  <mergeCells count="5">
    <mergeCell ref="A1:G1"/>
    <mergeCell ref="A2:G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2"/>
    <col collapsed="false" customWidth="true" hidden="false" outlineLevel="0" max="3" min="3" style="1" width="9"/>
    <col collapsed="false" customWidth="true" hidden="false" outlineLevel="0" max="5" min="4" style="1" width="8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13" t="s">
        <v>348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3" t="s">
        <v>349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22" t="s">
        <v>333</v>
      </c>
      <c r="B4" s="22" t="s">
        <v>350</v>
      </c>
      <c r="C4" s="22" t="s">
        <v>42</v>
      </c>
      <c r="D4" s="22" t="s">
        <v>148</v>
      </c>
      <c r="E4" s="22" t="s">
        <v>44</v>
      </c>
      <c r="F4" s="22" t="s">
        <v>14</v>
      </c>
    </row>
    <row r="5" customFormat="false" ht="15" hidden="false" customHeight="true" outlineLevel="0" collapsed="false">
      <c r="A5" s="15" t="s">
        <v>58</v>
      </c>
      <c r="B5" s="15" t="s">
        <v>351</v>
      </c>
      <c r="C5" s="16" t="n">
        <v>0.787</v>
      </c>
      <c r="D5" s="15" t="n">
        <v>48</v>
      </c>
      <c r="E5" s="15" t="n">
        <v>61</v>
      </c>
      <c r="F5" s="15" t="s">
        <v>352</v>
      </c>
    </row>
    <row r="6" customFormat="false" ht="15" hidden="false" customHeight="true" outlineLevel="0" collapsed="false">
      <c r="A6" s="15" t="s">
        <v>58</v>
      </c>
      <c r="B6" s="15" t="s">
        <v>353</v>
      </c>
      <c r="C6" s="16" t="n">
        <v>0.8</v>
      </c>
      <c r="D6" s="15" t="n">
        <v>68</v>
      </c>
      <c r="E6" s="15" t="n">
        <v>85</v>
      </c>
      <c r="F6" s="15" t="s">
        <v>352</v>
      </c>
    </row>
    <row r="7" customFormat="false" ht="15" hidden="false" customHeight="true" outlineLevel="0" collapsed="false">
      <c r="A7" s="15" t="s">
        <v>58</v>
      </c>
      <c r="B7" s="15" t="s">
        <v>354</v>
      </c>
      <c r="C7" s="16" t="n">
        <v>0.793</v>
      </c>
      <c r="D7" s="15" t="n">
        <v>107</v>
      </c>
      <c r="E7" s="15" t="n">
        <v>135</v>
      </c>
      <c r="F7" s="15" t="s">
        <v>355</v>
      </c>
    </row>
    <row r="8" customFormat="false" ht="15" hidden="false" customHeight="true" outlineLevel="0" collapsed="false">
      <c r="A8" s="15" t="s">
        <v>58</v>
      </c>
      <c r="B8" s="15" t="s">
        <v>356</v>
      </c>
      <c r="C8" s="16" t="n">
        <v>0.793</v>
      </c>
      <c r="D8" s="15" t="n">
        <v>107</v>
      </c>
      <c r="E8" s="15" t="n">
        <v>135</v>
      </c>
      <c r="F8" s="15" t="s">
        <v>357</v>
      </c>
    </row>
    <row r="9" customFormat="false" ht="15" hidden="false" customHeight="true" outlineLevel="0" collapsed="false">
      <c r="A9" s="15" t="s">
        <v>337</v>
      </c>
      <c r="B9" s="15" t="s">
        <v>358</v>
      </c>
      <c r="C9" s="15" t="s">
        <v>270</v>
      </c>
      <c r="D9" s="15" t="n">
        <v>0</v>
      </c>
      <c r="E9" s="15" t="n">
        <v>0</v>
      </c>
      <c r="F9" s="15" t="s">
        <v>352</v>
      </c>
    </row>
    <row r="10" customFormat="false" ht="15" hidden="false" customHeight="true" outlineLevel="0" collapsed="false">
      <c r="B10" s="12" t="s">
        <v>359</v>
      </c>
      <c r="C10" s="12"/>
      <c r="D10" s="12"/>
      <c r="E10" s="12"/>
      <c r="F10" s="12"/>
    </row>
    <row r="11" customFormat="false" ht="15" hidden="false" customHeight="true" outlineLevel="0" collapsed="false">
      <c r="A11" s="15" t="s">
        <v>337</v>
      </c>
      <c r="B11" s="15" t="s">
        <v>353</v>
      </c>
      <c r="C11" s="16" t="n">
        <v>0.863</v>
      </c>
      <c r="D11" s="15" t="n">
        <v>88</v>
      </c>
      <c r="E11" s="15" t="n">
        <v>102</v>
      </c>
      <c r="F11" s="15" t="s">
        <v>352</v>
      </c>
    </row>
    <row r="12" customFormat="false" ht="15" hidden="false" customHeight="true" outlineLevel="0" collapsed="false">
      <c r="A12" s="15" t="s">
        <v>337</v>
      </c>
      <c r="B12" s="15" t="s">
        <v>360</v>
      </c>
      <c r="C12" s="16" t="n">
        <v>0.836</v>
      </c>
      <c r="D12" s="15" t="n">
        <v>371</v>
      </c>
      <c r="E12" s="15" t="n">
        <v>444</v>
      </c>
      <c r="F12" s="15" t="s">
        <v>352</v>
      </c>
    </row>
    <row r="13" customFormat="false" ht="15" hidden="false" customHeight="true" outlineLevel="0" collapsed="false">
      <c r="A13" s="15" t="s">
        <v>337</v>
      </c>
      <c r="B13" s="15" t="s">
        <v>361</v>
      </c>
      <c r="C13" s="16" t="n">
        <v>0.826</v>
      </c>
      <c r="D13" s="15" t="n">
        <v>414</v>
      </c>
      <c r="E13" s="15" t="n">
        <v>501</v>
      </c>
      <c r="F13" s="15" t="s">
        <v>355</v>
      </c>
    </row>
    <row r="14" customFormat="false" ht="15" hidden="false" customHeight="true" outlineLevel="0" collapsed="false">
      <c r="A14" s="15" t="s">
        <v>337</v>
      </c>
      <c r="B14" s="15" t="s">
        <v>356</v>
      </c>
      <c r="C14" s="16" t="n">
        <v>0.826</v>
      </c>
      <c r="D14" s="15" t="n">
        <v>414</v>
      </c>
      <c r="E14" s="15" t="n">
        <v>501</v>
      </c>
      <c r="F14" s="15" t="s">
        <v>357</v>
      </c>
    </row>
    <row r="15" customFormat="false" ht="15" hidden="false" customHeight="true" outlineLevel="0" collapsed="false">
      <c r="A15" s="15" t="s">
        <v>337</v>
      </c>
      <c r="B15" s="15" t="s">
        <v>362</v>
      </c>
      <c r="C15" s="16" t="n">
        <v>0.75</v>
      </c>
      <c r="D15" s="15" t="n">
        <v>30</v>
      </c>
      <c r="E15" s="15" t="n">
        <v>40</v>
      </c>
      <c r="F15" s="15" t="s">
        <v>363</v>
      </c>
    </row>
    <row r="16" customFormat="false" ht="15" hidden="false" customHeight="true" outlineLevel="0" collapsed="false">
      <c r="A16" s="15" t="s">
        <v>337</v>
      </c>
      <c r="B16" s="15" t="s">
        <v>364</v>
      </c>
      <c r="C16" s="16" t="n">
        <v>0.75</v>
      </c>
      <c r="D16" s="15" t="n">
        <v>30</v>
      </c>
      <c r="E16" s="15" t="n">
        <v>40</v>
      </c>
      <c r="F16" s="15" t="s">
        <v>363</v>
      </c>
    </row>
    <row r="17" customFormat="false" ht="15" hidden="false" customHeight="true" outlineLevel="0" collapsed="false">
      <c r="A17" s="15" t="s">
        <v>78</v>
      </c>
      <c r="B17" s="15" t="s">
        <v>365</v>
      </c>
      <c r="C17" s="16" t="n">
        <v>0.906</v>
      </c>
      <c r="D17" s="15" t="n">
        <v>87</v>
      </c>
      <c r="E17" s="15" t="n">
        <v>96</v>
      </c>
      <c r="F17" s="15" t="s">
        <v>355</v>
      </c>
    </row>
    <row r="18" customFormat="false" ht="15" hidden="false" customHeight="true" outlineLevel="0" collapsed="false">
      <c r="A18" s="15" t="s">
        <v>83</v>
      </c>
      <c r="B18" s="15" t="s">
        <v>365</v>
      </c>
      <c r="C18" s="16" t="n">
        <v>0.9</v>
      </c>
      <c r="D18" s="15" t="n">
        <v>45</v>
      </c>
      <c r="E18" s="15" t="n">
        <v>50</v>
      </c>
      <c r="F18" s="15" t="s">
        <v>355</v>
      </c>
    </row>
    <row r="20" customFormat="false" ht="15" hidden="false" customHeight="true" outlineLevel="0" collapsed="false">
      <c r="A20" s="12" t="s">
        <v>366</v>
      </c>
      <c r="B20" s="12"/>
      <c r="C20" s="12"/>
      <c r="D20" s="12"/>
      <c r="E20" s="12"/>
      <c r="F20" s="12"/>
    </row>
  </sheetData>
  <mergeCells count="4">
    <mergeCell ref="A1:F1"/>
    <mergeCell ref="A2:F2"/>
    <mergeCell ref="B10:F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9"/>
    <col collapsed="false" customWidth="true" hidden="false" outlineLevel="0" max="4" min="3" style="1" width="8"/>
    <col collapsed="false" customWidth="true" hidden="false" outlineLevel="0" max="6" min="5" style="1" width="12"/>
  </cols>
  <sheetData>
    <row r="1" customFormat="false" ht="15.75" hidden="false" customHeight="true" outlineLevel="0" collapsed="false">
      <c r="A1" s="13" t="s">
        <v>367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3" t="s">
        <v>368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369</v>
      </c>
      <c r="B4" s="4"/>
      <c r="C4" s="4"/>
      <c r="D4" s="4"/>
      <c r="E4" s="4"/>
      <c r="F4" s="4"/>
    </row>
    <row r="5" customFormat="false" ht="26.25" hidden="false" customHeight="true" outlineLevel="0" collapsed="false">
      <c r="A5" s="22" t="s">
        <v>370</v>
      </c>
      <c r="B5" s="22" t="s">
        <v>42</v>
      </c>
      <c r="C5" s="22" t="s">
        <v>148</v>
      </c>
      <c r="D5" s="22" t="s">
        <v>44</v>
      </c>
      <c r="E5" s="22" t="s">
        <v>371</v>
      </c>
      <c r="F5" s="22" t="s">
        <v>372</v>
      </c>
    </row>
    <row r="6" customFormat="false" ht="15" hidden="false" customHeight="true" outlineLevel="0" collapsed="false">
      <c r="A6" s="15" t="s">
        <v>373</v>
      </c>
      <c r="B6" s="16" t="n">
        <v>0.836</v>
      </c>
      <c r="C6" s="15" t="n">
        <v>371</v>
      </c>
      <c r="D6" s="15" t="n">
        <v>444</v>
      </c>
      <c r="E6" s="16" t="n">
        <v>0.798</v>
      </c>
      <c r="F6" s="16" t="n">
        <v>0.867</v>
      </c>
    </row>
    <row r="7" customFormat="false" ht="15" hidden="false" customHeight="true" outlineLevel="0" collapsed="false">
      <c r="A7" s="15" t="s">
        <v>374</v>
      </c>
      <c r="B7" s="16" t="n">
        <v>0.826</v>
      </c>
      <c r="C7" s="15" t="n">
        <v>414</v>
      </c>
      <c r="D7" s="15" t="n">
        <v>501</v>
      </c>
      <c r="E7" s="16" t="n">
        <v>0.791</v>
      </c>
      <c r="F7" s="16" t="n">
        <v>0.857</v>
      </c>
    </row>
    <row r="8" customFormat="false" ht="15" hidden="false" customHeight="true" outlineLevel="0" collapsed="false">
      <c r="A8" s="15" t="s">
        <v>375</v>
      </c>
      <c r="B8" s="16" t="n">
        <v>0.863</v>
      </c>
      <c r="C8" s="15" t="n">
        <v>88</v>
      </c>
      <c r="D8" s="15" t="n">
        <v>102</v>
      </c>
      <c r="E8" s="16" t="n">
        <v>0.783</v>
      </c>
      <c r="F8" s="16" t="n">
        <v>0.916</v>
      </c>
    </row>
    <row r="9" customFormat="false" ht="15" hidden="false" customHeight="true" outlineLevel="0" collapsed="false">
      <c r="A9" s="15" t="s">
        <v>376</v>
      </c>
      <c r="B9" s="16" t="n">
        <v>0.793</v>
      </c>
      <c r="C9" s="15" t="n">
        <v>107</v>
      </c>
      <c r="D9" s="15" t="n">
        <v>135</v>
      </c>
      <c r="E9" s="16" t="n">
        <v>0.717</v>
      </c>
      <c r="F9" s="16" t="n">
        <v>0.852</v>
      </c>
    </row>
    <row r="10" customFormat="false" ht="15" hidden="false" customHeight="true" outlineLevel="0" collapsed="false">
      <c r="A10" s="15" t="s">
        <v>377</v>
      </c>
      <c r="B10" s="16" t="n">
        <v>0.8</v>
      </c>
      <c r="C10" s="15" t="n">
        <v>68</v>
      </c>
      <c r="D10" s="15" t="n">
        <v>85</v>
      </c>
      <c r="E10" s="16" t="n">
        <v>0.703</v>
      </c>
      <c r="F10" s="16" t="n">
        <v>0.871</v>
      </c>
    </row>
    <row r="11" customFormat="false" ht="15" hidden="false" customHeight="true" outlineLevel="0" collapsed="false">
      <c r="A11" s="15" t="s">
        <v>378</v>
      </c>
      <c r="B11" s="16" t="n">
        <v>0.787</v>
      </c>
      <c r="C11" s="15" t="n">
        <v>48</v>
      </c>
      <c r="D11" s="15" t="n">
        <v>61</v>
      </c>
      <c r="E11" s="16" t="n">
        <v>0.669</v>
      </c>
      <c r="F11" s="16" t="n">
        <v>0.871</v>
      </c>
    </row>
    <row r="12" customFormat="false" ht="15" hidden="false" customHeight="true" outlineLevel="0" collapsed="false">
      <c r="A12" s="15" t="s">
        <v>379</v>
      </c>
      <c r="B12" s="16" t="n">
        <v>0.906</v>
      </c>
      <c r="C12" s="15" t="n">
        <v>87</v>
      </c>
      <c r="D12" s="15" t="n">
        <v>96</v>
      </c>
      <c r="E12" s="16" t="n">
        <v>0.831</v>
      </c>
      <c r="F12" s="16" t="n">
        <v>0.95</v>
      </c>
    </row>
    <row r="13" customFormat="false" ht="15" hidden="false" customHeight="true" outlineLevel="0" collapsed="false">
      <c r="A13" s="15" t="s">
        <v>380</v>
      </c>
      <c r="B13" s="16" t="n">
        <v>0.9</v>
      </c>
      <c r="C13" s="15" t="n">
        <v>45</v>
      </c>
      <c r="D13" s="15" t="n">
        <v>50</v>
      </c>
      <c r="E13" s="16" t="n">
        <v>0.786</v>
      </c>
      <c r="F13" s="16" t="n">
        <v>0.957</v>
      </c>
    </row>
    <row r="14" customFormat="false" ht="15" hidden="false" customHeight="true" outlineLevel="0" collapsed="false">
      <c r="A14" s="15" t="s">
        <v>381</v>
      </c>
      <c r="B14" s="16" t="n">
        <v>0.244</v>
      </c>
      <c r="C14" s="15" t="n">
        <v>144</v>
      </c>
      <c r="D14" s="15" t="n">
        <v>591</v>
      </c>
      <c r="E14" s="16" t="n">
        <v>0.211</v>
      </c>
      <c r="F14" s="16" t="n">
        <v>0.28</v>
      </c>
    </row>
    <row r="15" customFormat="false" ht="15" hidden="false" customHeight="true" outlineLevel="0" collapsed="false">
      <c r="A15" s="15" t="s">
        <v>382</v>
      </c>
      <c r="B15" s="16" t="n">
        <v>0.321</v>
      </c>
      <c r="C15" s="15" t="n">
        <v>144</v>
      </c>
      <c r="D15" s="15" t="n">
        <v>449</v>
      </c>
      <c r="E15" s="16" t="n">
        <v>0.279</v>
      </c>
      <c r="F15" s="16" t="n">
        <v>0.365</v>
      </c>
    </row>
    <row r="17" customFormat="false" ht="15" hidden="false" customHeight="true" outlineLevel="0" collapsed="false">
      <c r="A17" s="4" t="s">
        <v>383</v>
      </c>
      <c r="B17" s="4"/>
      <c r="C17" s="4"/>
      <c r="D17" s="4"/>
      <c r="E17" s="4"/>
      <c r="F17" s="4"/>
    </row>
    <row r="18" customFormat="false" ht="26.25" hidden="false" customHeight="true" outlineLevel="0" collapsed="false">
      <c r="A18" s="22" t="s">
        <v>370</v>
      </c>
      <c r="B18" s="22" t="s">
        <v>42</v>
      </c>
      <c r="C18" s="22" t="s">
        <v>148</v>
      </c>
      <c r="D18" s="22" t="s">
        <v>44</v>
      </c>
      <c r="E18" s="22" t="s">
        <v>371</v>
      </c>
      <c r="F18" s="22" t="s">
        <v>372</v>
      </c>
    </row>
    <row r="19" customFormat="false" ht="15" hidden="false" customHeight="true" outlineLevel="0" collapsed="false">
      <c r="A19" s="15" t="s">
        <v>384</v>
      </c>
      <c r="B19" s="16" t="n">
        <v>0.906</v>
      </c>
      <c r="C19" s="15" t="n">
        <v>87</v>
      </c>
      <c r="D19" s="15" t="n">
        <v>96</v>
      </c>
      <c r="E19" s="16" t="n">
        <v>0.831</v>
      </c>
      <c r="F19" s="16" t="n">
        <v>0.95</v>
      </c>
    </row>
    <row r="20" customFormat="false" ht="15" hidden="false" customHeight="true" outlineLevel="0" collapsed="false">
      <c r="A20" s="15" t="s">
        <v>385</v>
      </c>
      <c r="B20" s="16" t="n">
        <v>0.933</v>
      </c>
      <c r="C20" s="15" t="n">
        <v>14</v>
      </c>
      <c r="D20" s="15" t="n">
        <v>15</v>
      </c>
      <c r="E20" s="16" t="n">
        <v>0.702</v>
      </c>
      <c r="F20" s="16" t="n">
        <v>0.988</v>
      </c>
    </row>
    <row r="21" customFormat="false" ht="15" hidden="false" customHeight="true" outlineLevel="0" collapsed="false">
      <c r="A21" s="15" t="s">
        <v>386</v>
      </c>
      <c r="B21" s="16" t="n">
        <v>1</v>
      </c>
      <c r="C21" s="15" t="n">
        <v>6</v>
      </c>
      <c r="D21" s="15" t="n">
        <v>6</v>
      </c>
      <c r="E21" s="16" t="n">
        <v>0.61</v>
      </c>
      <c r="F21" s="16" t="n">
        <v>1</v>
      </c>
    </row>
    <row r="22" customFormat="false" ht="15" hidden="false" customHeight="true" outlineLevel="0" collapsed="false">
      <c r="A22" s="15" t="s">
        <v>387</v>
      </c>
      <c r="B22" s="16" t="n">
        <v>0.857</v>
      </c>
      <c r="C22" s="15" t="n">
        <v>18</v>
      </c>
      <c r="D22" s="15" t="n">
        <v>21</v>
      </c>
      <c r="E22" s="16" t="n">
        <v>0.654</v>
      </c>
      <c r="F22" s="16" t="n">
        <v>0.95</v>
      </c>
    </row>
    <row r="23" customFormat="false" ht="15" hidden="false" customHeight="true" outlineLevel="0" collapsed="false">
      <c r="A23" s="15" t="s">
        <v>388</v>
      </c>
      <c r="B23" s="16" t="n">
        <v>0.75</v>
      </c>
      <c r="C23" s="15" t="n">
        <v>6</v>
      </c>
      <c r="D23" s="15" t="n">
        <v>8</v>
      </c>
      <c r="E23" s="16" t="n">
        <v>0.409</v>
      </c>
      <c r="F23" s="16" t="n">
        <v>0.929</v>
      </c>
    </row>
    <row r="24" customFormat="false" ht="15" hidden="false" customHeight="true" outlineLevel="0" collapsed="false">
      <c r="A24" s="15" t="s">
        <v>389</v>
      </c>
      <c r="B24" s="16" t="n">
        <v>0.769</v>
      </c>
      <c r="C24" s="15" t="n">
        <v>10</v>
      </c>
      <c r="D24" s="15" t="n">
        <v>13</v>
      </c>
      <c r="E24" s="16" t="n">
        <v>0.497</v>
      </c>
      <c r="F24" s="16" t="n">
        <v>0.918</v>
      </c>
    </row>
    <row r="25" customFormat="false" ht="15" hidden="false" customHeight="true" outlineLevel="0" collapsed="false">
      <c r="A25" s="15" t="s">
        <v>390</v>
      </c>
      <c r="B25" s="16" t="n">
        <v>1</v>
      </c>
      <c r="C25" s="15" t="n">
        <v>7</v>
      </c>
      <c r="D25" s="15" t="n">
        <v>7</v>
      </c>
      <c r="E25" s="16" t="n">
        <v>0.646</v>
      </c>
      <c r="F25" s="16" t="n">
        <v>1</v>
      </c>
    </row>
    <row r="26" customFormat="false" ht="15" hidden="false" customHeight="true" outlineLevel="0" collapsed="false">
      <c r="A26" s="15" t="s">
        <v>391</v>
      </c>
      <c r="B26" s="16" t="n">
        <v>1</v>
      </c>
      <c r="C26" s="15" t="n">
        <v>2</v>
      </c>
      <c r="D26" s="15" t="n">
        <v>2</v>
      </c>
      <c r="E26" s="16" t="n">
        <v>0.342</v>
      </c>
      <c r="F26" s="16" t="n">
        <v>1</v>
      </c>
    </row>
    <row r="28" customFormat="false" ht="15" hidden="false" customHeight="true" outlineLevel="0" collapsed="false">
      <c r="A28" s="4" t="s">
        <v>392</v>
      </c>
      <c r="B28" s="4"/>
      <c r="C28" s="4"/>
      <c r="D28" s="4"/>
      <c r="E28" s="4"/>
      <c r="F28" s="4"/>
    </row>
    <row r="29" customFormat="false" ht="26.25" hidden="false" customHeight="true" outlineLevel="0" collapsed="false">
      <c r="A29" s="22" t="s">
        <v>370</v>
      </c>
      <c r="B29" s="22" t="s">
        <v>42</v>
      </c>
      <c r="C29" s="22" t="s">
        <v>148</v>
      </c>
      <c r="D29" s="22" t="s">
        <v>44</v>
      </c>
      <c r="E29" s="22" t="s">
        <v>371</v>
      </c>
      <c r="F29" s="22" t="s">
        <v>372</v>
      </c>
    </row>
    <row r="30" customFormat="false" ht="15" hidden="false" customHeight="true" outlineLevel="0" collapsed="false">
      <c r="A30" s="15" t="s">
        <v>393</v>
      </c>
      <c r="B30" s="16" t="n">
        <v>0.9</v>
      </c>
      <c r="C30" s="15" t="n">
        <v>45</v>
      </c>
      <c r="D30" s="15" t="n">
        <v>50</v>
      </c>
      <c r="E30" s="16" t="n">
        <v>0.786</v>
      </c>
      <c r="F30" s="16" t="n">
        <v>0.957</v>
      </c>
    </row>
    <row r="31" customFormat="false" ht="15" hidden="false" customHeight="true" outlineLevel="0" collapsed="false">
      <c r="A31" s="15" t="s">
        <v>394</v>
      </c>
      <c r="B31" s="16" t="n">
        <v>1</v>
      </c>
      <c r="C31" s="15" t="n">
        <v>2</v>
      </c>
      <c r="D31" s="15" t="n">
        <v>2</v>
      </c>
      <c r="E31" s="16" t="n">
        <v>0.342</v>
      </c>
      <c r="F31" s="16" t="n">
        <v>1</v>
      </c>
    </row>
    <row r="32" customFormat="false" ht="15" hidden="false" customHeight="true" outlineLevel="0" collapsed="false">
      <c r="A32" s="15" t="s">
        <v>395</v>
      </c>
      <c r="B32" s="16" t="n">
        <v>1</v>
      </c>
      <c r="C32" s="15" t="n">
        <v>1</v>
      </c>
      <c r="D32" s="15" t="n">
        <v>1</v>
      </c>
      <c r="E32" s="16" t="n">
        <v>0.207</v>
      </c>
      <c r="F32" s="16" t="n">
        <v>1</v>
      </c>
    </row>
    <row r="33" customFormat="false" ht="15" hidden="false" customHeight="true" outlineLevel="0" collapsed="false">
      <c r="A33" s="15" t="s">
        <v>396</v>
      </c>
      <c r="B33" s="16" t="n">
        <v>1</v>
      </c>
      <c r="C33" s="15" t="n">
        <v>10</v>
      </c>
      <c r="D33" s="15" t="n">
        <v>10</v>
      </c>
      <c r="E33" s="16" t="n">
        <v>0.722</v>
      </c>
      <c r="F33" s="16" t="n">
        <v>1</v>
      </c>
    </row>
    <row r="34" customFormat="false" ht="15" hidden="false" customHeight="true" outlineLevel="0" collapsed="false">
      <c r="A34" s="15" t="s">
        <v>397</v>
      </c>
      <c r="B34" s="16" t="n">
        <v>1</v>
      </c>
      <c r="C34" s="15" t="n">
        <v>1</v>
      </c>
      <c r="D34" s="15" t="n">
        <v>1</v>
      </c>
      <c r="E34" s="16" t="n">
        <v>0.207</v>
      </c>
      <c r="F34" s="16" t="n">
        <v>1</v>
      </c>
    </row>
    <row r="35" customFormat="false" ht="15" hidden="false" customHeight="true" outlineLevel="0" collapsed="false">
      <c r="A35" s="15" t="s">
        <v>398</v>
      </c>
      <c r="B35" s="16" t="n">
        <v>1</v>
      </c>
      <c r="C35" s="15" t="n">
        <v>4</v>
      </c>
      <c r="D35" s="15" t="n">
        <v>4</v>
      </c>
      <c r="E35" s="16" t="n">
        <v>0.51</v>
      </c>
      <c r="F35" s="16" t="n">
        <v>1</v>
      </c>
    </row>
    <row r="36" customFormat="false" ht="15" hidden="false" customHeight="true" outlineLevel="0" collapsed="false">
      <c r="A36" s="15" t="s">
        <v>399</v>
      </c>
      <c r="B36" s="16" t="n">
        <v>1</v>
      </c>
      <c r="C36" s="15" t="n">
        <v>1</v>
      </c>
      <c r="D36" s="15" t="n">
        <v>1</v>
      </c>
      <c r="E36" s="16" t="n">
        <v>0.207</v>
      </c>
      <c r="F36" s="16" t="n">
        <v>1</v>
      </c>
    </row>
    <row r="37" customFormat="false" ht="15" hidden="false" customHeight="true" outlineLevel="0" collapsed="false">
      <c r="A37" s="15" t="s">
        <v>400</v>
      </c>
      <c r="B37" s="16" t="n">
        <v>1</v>
      </c>
      <c r="C37" s="15" t="n">
        <v>1</v>
      </c>
      <c r="D37" s="15" t="n">
        <v>1</v>
      </c>
      <c r="E37" s="16" t="n">
        <v>0.207</v>
      </c>
      <c r="F37" s="16" t="n">
        <v>1</v>
      </c>
    </row>
    <row r="39" customFormat="false" ht="15" hidden="false" customHeight="true" outlineLevel="0" collapsed="false">
      <c r="A39" s="4" t="s">
        <v>401</v>
      </c>
      <c r="B39" s="4"/>
      <c r="C39" s="4"/>
      <c r="D39" s="4"/>
      <c r="E39" s="4"/>
      <c r="F39" s="4"/>
    </row>
    <row r="40" customFormat="false" ht="26.25" hidden="false" customHeight="true" outlineLevel="0" collapsed="false">
      <c r="A40" s="22" t="s">
        <v>370</v>
      </c>
      <c r="B40" s="22" t="s">
        <v>42</v>
      </c>
      <c r="C40" s="22" t="s">
        <v>148</v>
      </c>
      <c r="D40" s="22" t="s">
        <v>44</v>
      </c>
      <c r="E40" s="22" t="s">
        <v>371</v>
      </c>
      <c r="F40" s="22" t="s">
        <v>372</v>
      </c>
    </row>
    <row r="41" customFormat="false" ht="15" hidden="false" customHeight="true" outlineLevel="0" collapsed="false">
      <c r="A41" s="15" t="s">
        <v>402</v>
      </c>
      <c r="B41" s="16" t="n">
        <v>0.244</v>
      </c>
      <c r="C41" s="15" t="n">
        <v>144</v>
      </c>
      <c r="D41" s="15" t="n">
        <v>591</v>
      </c>
      <c r="E41" s="16" t="n">
        <v>0.211</v>
      </c>
      <c r="F41" s="16" t="n">
        <v>0.28</v>
      </c>
    </row>
    <row r="42" customFormat="false" ht="15" hidden="false" customHeight="true" outlineLevel="0" collapsed="false">
      <c r="A42" s="15" t="s">
        <v>403</v>
      </c>
      <c r="B42" s="16" t="n">
        <v>0</v>
      </c>
      <c r="C42" s="15" t="n">
        <v>0</v>
      </c>
      <c r="D42" s="15" t="n">
        <v>142</v>
      </c>
      <c r="E42" s="16" t="n">
        <v>0</v>
      </c>
      <c r="F42" s="16" t="n">
        <v>0.026</v>
      </c>
    </row>
    <row r="43" customFormat="false" ht="15" hidden="false" customHeight="true" outlineLevel="0" collapsed="false">
      <c r="A43" s="15" t="s">
        <v>404</v>
      </c>
      <c r="B43" s="16" t="n">
        <v>0.321</v>
      </c>
      <c r="C43" s="15" t="n">
        <v>144</v>
      </c>
      <c r="D43" s="15" t="n">
        <v>449</v>
      </c>
      <c r="E43" s="16" t="n">
        <v>0.279</v>
      </c>
      <c r="F43" s="16" t="n">
        <v>0.365</v>
      </c>
    </row>
    <row r="45" customFormat="false" ht="15" hidden="false" customHeight="true" outlineLevel="0" collapsed="false">
      <c r="A45" s="41" t="s">
        <v>405</v>
      </c>
      <c r="B45" s="41"/>
      <c r="C45" s="41"/>
      <c r="D45" s="41"/>
      <c r="E45" s="41"/>
      <c r="F45" s="41"/>
    </row>
    <row r="46" customFormat="false" ht="15" hidden="false" customHeight="true" outlineLevel="0" collapsed="false">
      <c r="A46" s="12" t="s">
        <v>406</v>
      </c>
      <c r="B46" s="12"/>
      <c r="C46" s="12"/>
      <c r="D46" s="12"/>
      <c r="E46" s="12"/>
      <c r="F46" s="12"/>
    </row>
    <row r="47" customFormat="false" ht="15" hidden="false" customHeight="true" outlineLevel="0" collapsed="false">
      <c r="A47" s="12" t="s">
        <v>407</v>
      </c>
      <c r="B47" s="12"/>
      <c r="C47" s="12"/>
      <c r="D47" s="12"/>
      <c r="E47" s="12"/>
      <c r="F47" s="12"/>
    </row>
    <row r="48" customFormat="false" ht="15" hidden="false" customHeight="true" outlineLevel="0" collapsed="false">
      <c r="A48" s="12" t="s">
        <v>408</v>
      </c>
      <c r="B48" s="12"/>
      <c r="C48" s="12"/>
      <c r="D48" s="12"/>
      <c r="E48" s="12"/>
      <c r="F48" s="12"/>
    </row>
    <row r="49" customFormat="false" ht="15" hidden="false" customHeight="true" outlineLevel="0" collapsed="false">
      <c r="A49" s="12" t="s">
        <v>409</v>
      </c>
      <c r="B49" s="12"/>
      <c r="C49" s="12"/>
      <c r="D49" s="12"/>
      <c r="E49" s="12"/>
      <c r="F49" s="12"/>
    </row>
    <row r="51" customFormat="false" ht="15" hidden="false" customHeight="true" outlineLevel="0" collapsed="false">
      <c r="A51" s="12" t="s">
        <v>410</v>
      </c>
      <c r="B51" s="12"/>
      <c r="C51" s="12"/>
      <c r="D51" s="12"/>
      <c r="E51" s="12"/>
      <c r="F51" s="12"/>
    </row>
  </sheetData>
  <mergeCells count="12">
    <mergeCell ref="A1:F1"/>
    <mergeCell ref="A2:F2"/>
    <mergeCell ref="A4:F4"/>
    <mergeCell ref="A17:F17"/>
    <mergeCell ref="A28:F28"/>
    <mergeCell ref="A39:F39"/>
    <mergeCell ref="A45:F45"/>
    <mergeCell ref="A46:F46"/>
    <mergeCell ref="A47:F47"/>
    <mergeCell ref="A48:F48"/>
    <mergeCell ref="A49:F49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5" min="4" style="1" width="20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13" t="s">
        <v>411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3" t="s">
        <v>412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37" t="s">
        <v>293</v>
      </c>
      <c r="B4" s="37" t="s">
        <v>413</v>
      </c>
      <c r="C4" s="37" t="s">
        <v>414</v>
      </c>
      <c r="D4" s="37" t="s">
        <v>415</v>
      </c>
      <c r="E4" s="37" t="s">
        <v>416</v>
      </c>
      <c r="F4" s="37" t="s">
        <v>417</v>
      </c>
    </row>
    <row r="5" customFormat="false" ht="15" hidden="false" customHeight="true" outlineLevel="0" collapsed="false">
      <c r="A5" s="9" t="s">
        <v>300</v>
      </c>
      <c r="B5" s="40" t="n">
        <f aca="false">SUMPRODUCT(('Tracked Cells'!$G$5:$G$22=A5)*('Tracked Cells'!$B$5:$B$22&lt;&gt;"Demon"))</f>
        <v>4</v>
      </c>
      <c r="C5" s="40" t="n">
        <f aca="false">SUMPRODUCT(('Tracked Cells'!$G$5:$G$22=A5)*('Tracked Cells'!$B$5:$B$22&lt;&gt;"Demon")*'Tracked Cells'!$F$5:$F$22)</f>
        <v>1117</v>
      </c>
      <c r="D5" s="42" t="n">
        <f aca="false">IFERROR(SUMPRODUCT(('Tracked Cells'!$G$5:$G$22=A5)*('Tracked Cells'!$B$5:$B$22&lt;&gt;"Demon")*'Tracked Cells'!$E$5:$E$22)/B5,"n/a")</f>
        <v>0.65625</v>
      </c>
      <c r="E5" s="42" t="n">
        <f aca="false">IFERROR(SUMPRODUCT(('Tracked Cells'!$G$5:$G$22=A5)*('Tracked Cells'!$B$5:$B$22&lt;&gt;"Demon")*'Tracked Cells'!$E$5:$E$22*'Tracked Cells'!$F$5:$F$22)/C5,"n/a")</f>
        <v>0.462848701880036</v>
      </c>
      <c r="F5" s="43" t="s">
        <v>418</v>
      </c>
    </row>
    <row r="6" customFormat="false" ht="15" hidden="false" customHeight="true" outlineLevel="0" collapsed="false">
      <c r="A6" s="9" t="s">
        <v>298</v>
      </c>
      <c r="B6" s="40" t="n">
        <f aca="false">SUMPRODUCT(('Tracked Cells'!$G$5:$G$22=A6)*('Tracked Cells'!$B$5:$B$22&lt;&gt;"Demon"))</f>
        <v>2</v>
      </c>
      <c r="C6" s="40" t="n">
        <f aca="false">SUMPRODUCT(('Tracked Cells'!$G$5:$G$22=A6)*('Tracked Cells'!$B$5:$B$22&lt;&gt;"Demon")*'Tracked Cells'!$F$5:$F$22)</f>
        <v>345</v>
      </c>
      <c r="D6" s="42" t="n">
        <f aca="false">IFERROR(SUMPRODUCT(('Tracked Cells'!$G$5:$G$22=A6)*('Tracked Cells'!$B$5:$B$22&lt;&gt;"Demon")*'Tracked Cells'!$E$5:$E$22)/B6,"n/a")</f>
        <v>0.359</v>
      </c>
      <c r="E6" s="42" t="n">
        <f aca="false">IFERROR(SUMPRODUCT(('Tracked Cells'!$G$5:$G$22=A6)*('Tracked Cells'!$B$5:$B$22&lt;&gt;"Demon")*'Tracked Cells'!$E$5:$E$22*'Tracked Cells'!$F$5:$F$22)/C6,"n/a")</f>
        <v>0.353869565217391</v>
      </c>
      <c r="F6" s="43" t="s">
        <v>418</v>
      </c>
    </row>
    <row r="7" customFormat="false" ht="15" hidden="false" customHeight="true" outlineLevel="0" collapsed="false">
      <c r="A7" s="9" t="s">
        <v>307</v>
      </c>
      <c r="B7" s="40" t="n">
        <f aca="false">SUMPRODUCT(('Tracked Cells'!$G$5:$G$22=A7)*('Tracked Cells'!$B$5:$B$22&lt;&gt;"Demon"))</f>
        <v>1</v>
      </c>
      <c r="C7" s="40" t="n">
        <f aca="false">SUMPRODUCT(('Tracked Cells'!$G$5:$G$22=A7)*('Tracked Cells'!$B$5:$B$22&lt;&gt;"Demon")*'Tracked Cells'!$F$5:$F$22)</f>
        <v>51</v>
      </c>
      <c r="D7" s="42" t="n">
        <f aca="false">IFERROR(SUMPRODUCT(('Tracked Cells'!$G$5:$G$22=A7)*('Tracked Cells'!$B$5:$B$22&lt;&gt;"Demon")*'Tracked Cells'!$E$5:$E$22)/B7,"n/a")</f>
        <v>0.431</v>
      </c>
      <c r="E7" s="42" t="n">
        <f aca="false">IFERROR(SUMPRODUCT(('Tracked Cells'!$G$5:$G$22=A7)*('Tracked Cells'!$B$5:$B$22&lt;&gt;"Demon")*'Tracked Cells'!$E$5:$E$22*'Tracked Cells'!$F$5:$F$22)/C7,"n/a")</f>
        <v>0.431</v>
      </c>
      <c r="F7" s="43" t="s">
        <v>418</v>
      </c>
    </row>
    <row r="8" customFormat="false" ht="15" hidden="false" customHeight="true" outlineLevel="0" collapsed="false">
      <c r="A8" s="9" t="s">
        <v>111</v>
      </c>
      <c r="B8" s="40" t="n">
        <f aca="false">SUMPRODUCT(('Tracked Cells'!$G$5:$G$22=A8)*('Tracked Cells'!$B$5:$B$22&lt;&gt;"Demon"))</f>
        <v>3</v>
      </c>
      <c r="C8" s="40" t="n">
        <f aca="false">SUMPRODUCT(('Tracked Cells'!$G$5:$G$22=A8)*('Tracked Cells'!$B$5:$B$22&lt;&gt;"Demon")*'Tracked Cells'!$F$5:$F$22)</f>
        <v>182</v>
      </c>
      <c r="D8" s="42" t="n">
        <f aca="false">IFERROR(SUMPRODUCT(('Tracked Cells'!$G$5:$G$22=A8)*('Tracked Cells'!$B$5:$B$22&lt;&gt;"Demon")*'Tracked Cells'!$E$5:$E$22)/B8,"n/a")</f>
        <v>0.536666666666667</v>
      </c>
      <c r="E8" s="42" t="n">
        <f aca="false">IFERROR(SUMPRODUCT(('Tracked Cells'!$G$5:$G$22=A8)*('Tracked Cells'!$B$5:$B$22&lt;&gt;"Demon")*'Tracked Cells'!$E$5:$E$22*'Tracked Cells'!$F$5:$F$22)/C8,"n/a")</f>
        <v>0.538197802197802</v>
      </c>
      <c r="F8" s="43" t="s">
        <v>418</v>
      </c>
    </row>
    <row r="9" customFormat="false" ht="15" hidden="false" customHeight="true" outlineLevel="0" collapsed="false">
      <c r="A9" s="9" t="s">
        <v>108</v>
      </c>
      <c r="B9" s="40" t="n">
        <f aca="false">SUMPRODUCT(('Tracked Cells'!$G$5:$G$22=A9)*('Tracked Cells'!$B$5:$B$22&lt;&gt;"Demon"))</f>
        <v>2</v>
      </c>
      <c r="C9" s="40" t="n">
        <f aca="false">SUMPRODUCT(('Tracked Cells'!$G$5:$G$22=A9)*('Tracked Cells'!$B$5:$B$22&lt;&gt;"Demon")*'Tracked Cells'!$F$5:$F$22)</f>
        <v>189</v>
      </c>
      <c r="D9" s="42" t="n">
        <f aca="false">IFERROR(SUMPRODUCT(('Tracked Cells'!$G$5:$G$22=A9)*('Tracked Cells'!$B$5:$B$22&lt;&gt;"Demon")*'Tracked Cells'!$E$5:$E$22)/B9,"n/a")</f>
        <v>0.7975</v>
      </c>
      <c r="E9" s="42" t="n">
        <f aca="false">IFERROR(SUMPRODUCT(('Tracked Cells'!$G$5:$G$22=A9)*('Tracked Cells'!$B$5:$B$22&lt;&gt;"Demon")*'Tracked Cells'!$E$5:$E$22*'Tracked Cells'!$F$5:$F$22)/C9,"n/a")</f>
        <v>0.793587301587302</v>
      </c>
      <c r="F9" s="43" t="s">
        <v>418</v>
      </c>
    </row>
    <row r="11" customFormat="false" ht="15" hidden="false" customHeight="true" outlineLevel="0" collapsed="false">
      <c r="A11" s="44" t="s">
        <v>419</v>
      </c>
      <c r="B11" s="44"/>
      <c r="C11" s="44"/>
      <c r="D11" s="44"/>
      <c r="E11" s="44"/>
      <c r="F11" s="44"/>
    </row>
    <row r="12" customFormat="false" ht="15" hidden="false" customHeight="true" outlineLevel="0" collapsed="false">
      <c r="A12" s="12" t="s">
        <v>420</v>
      </c>
      <c r="B12" s="12"/>
      <c r="C12" s="12"/>
      <c r="D12" s="12"/>
      <c r="E12" s="12"/>
      <c r="F12" s="12"/>
    </row>
    <row r="13" customFormat="false" ht="15" hidden="false" customHeight="true" outlineLevel="0" collapsed="false">
      <c r="A13" s="12" t="s">
        <v>421</v>
      </c>
      <c r="B13" s="12"/>
      <c r="C13" s="12"/>
      <c r="D13" s="12"/>
      <c r="E13" s="12"/>
      <c r="F13" s="12"/>
    </row>
    <row r="14" customFormat="false" ht="15" hidden="false" customHeight="true" outlineLevel="0" collapsed="false">
      <c r="A14" s="12" t="s">
        <v>422</v>
      </c>
      <c r="B14" s="12"/>
      <c r="C14" s="12"/>
      <c r="D14" s="12"/>
      <c r="E14" s="12"/>
      <c r="F14" s="12"/>
    </row>
    <row r="15" customFormat="false" ht="15" hidden="false" customHeight="true" outlineLevel="0" collapsed="false">
      <c r="A15" s="12" t="s">
        <v>423</v>
      </c>
      <c r="B15" s="12"/>
      <c r="C15" s="12"/>
      <c r="D15" s="12"/>
      <c r="E15" s="12"/>
      <c r="F15" s="12"/>
    </row>
    <row r="16" customFormat="false" ht="15" hidden="false" customHeight="true" outlineLevel="0" collapsed="false">
      <c r="A16" s="12" t="s">
        <v>424</v>
      </c>
      <c r="B16" s="12"/>
      <c r="C16" s="12"/>
      <c r="D16" s="12"/>
      <c r="E16" s="12"/>
      <c r="F16" s="12"/>
    </row>
  </sheetData>
  <mergeCells count="8">
    <mergeCell ref="A1:F1"/>
    <mergeCell ref="A2:F2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8"/>
    <col collapsed="false" customWidth="true" hidden="false" outlineLevel="0" max="4" min="4" style="1" width="42"/>
    <col collapsed="false" customWidth="true" hidden="false" outlineLevel="0" max="5" min="5" style="1" width="30"/>
  </cols>
  <sheetData>
    <row r="1" customFormat="false" ht="15.75" hidden="false" customHeight="true" outlineLevel="0" collapsed="false">
      <c r="A1" s="13" t="s">
        <v>425</v>
      </c>
      <c r="B1" s="13"/>
      <c r="C1" s="13"/>
      <c r="D1" s="13"/>
      <c r="E1" s="13"/>
    </row>
    <row r="3" customFormat="false" ht="15" hidden="false" customHeight="true" outlineLevel="0" collapsed="false">
      <c r="A3" s="37" t="s">
        <v>426</v>
      </c>
      <c r="B3" s="37" t="s">
        <v>427</v>
      </c>
      <c r="C3" s="37" t="s">
        <v>428</v>
      </c>
      <c r="D3" s="37" t="s">
        <v>429</v>
      </c>
      <c r="E3" s="37" t="s">
        <v>430</v>
      </c>
    </row>
    <row r="4" customFormat="false" ht="60" hidden="false" customHeight="true" outlineLevel="0" collapsed="false">
      <c r="A4" s="45" t="s">
        <v>22</v>
      </c>
      <c r="B4" s="45" t="s">
        <v>431</v>
      </c>
      <c r="C4" s="45" t="s">
        <v>432</v>
      </c>
      <c r="D4" s="45" t="s">
        <v>433</v>
      </c>
      <c r="E4" s="45" t="s">
        <v>434</v>
      </c>
    </row>
    <row r="5" customFormat="false" ht="60" hidden="false" customHeight="true" outlineLevel="0" collapsed="false">
      <c r="A5" s="45" t="s">
        <v>435</v>
      </c>
      <c r="B5" s="45" t="s">
        <v>436</v>
      </c>
      <c r="C5" s="45" t="s">
        <v>437</v>
      </c>
      <c r="D5" s="45" t="s">
        <v>438</v>
      </c>
      <c r="E5" s="45" t="s">
        <v>439</v>
      </c>
    </row>
    <row r="6" customFormat="false" ht="60" hidden="false" customHeight="true" outlineLevel="0" collapsed="false">
      <c r="A6" s="45" t="s">
        <v>440</v>
      </c>
      <c r="B6" s="45" t="s">
        <v>441</v>
      </c>
      <c r="C6" s="45" t="s">
        <v>442</v>
      </c>
      <c r="D6" s="45" t="s">
        <v>443</v>
      </c>
      <c r="E6" s="45" t="s">
        <v>444</v>
      </c>
    </row>
    <row r="8" customFormat="false" ht="15" hidden="false" customHeight="true" outlineLevel="0" collapsed="false">
      <c r="A8" s="12" t="s">
        <v>445</v>
      </c>
      <c r="B8" s="12"/>
      <c r="C8" s="12"/>
      <c r="D8" s="12"/>
      <c r="E8" s="12"/>
    </row>
    <row r="10" customFormat="false" ht="15" hidden="false" customHeight="true" outlineLevel="0" collapsed="false">
      <c r="A10" s="4" t="s">
        <v>446</v>
      </c>
      <c r="B10" s="4"/>
      <c r="C10" s="4"/>
      <c r="D10" s="4"/>
      <c r="E10" s="4"/>
    </row>
    <row r="11" customFormat="false" ht="15" hidden="false" customHeight="true" outlineLevel="0" collapsed="false">
      <c r="A11" s="37" t="s">
        <v>447</v>
      </c>
      <c r="B11" s="37" t="s">
        <v>448</v>
      </c>
    </row>
    <row r="12" customFormat="false" ht="45" hidden="false" customHeight="true" outlineLevel="0" collapsed="false">
      <c r="A12" s="9" t="s">
        <v>449</v>
      </c>
      <c r="B12" s="45" t="s">
        <v>450</v>
      </c>
    </row>
    <row r="13" customFormat="false" ht="45" hidden="false" customHeight="true" outlineLevel="0" collapsed="false">
      <c r="A13" s="9" t="s">
        <v>451</v>
      </c>
      <c r="B13" s="45" t="s">
        <v>452</v>
      </c>
    </row>
    <row r="14" customFormat="false" ht="45" hidden="false" customHeight="true" outlineLevel="0" collapsed="false">
      <c r="A14" s="9" t="s">
        <v>453</v>
      </c>
      <c r="B14" s="45" t="s">
        <v>454</v>
      </c>
    </row>
    <row r="15" customFormat="false" ht="45" hidden="false" customHeight="true" outlineLevel="0" collapsed="false">
      <c r="A15" s="9" t="s">
        <v>455</v>
      </c>
      <c r="B15" s="45" t="s">
        <v>456</v>
      </c>
    </row>
    <row r="16" customFormat="false" ht="45" hidden="false" customHeight="true" outlineLevel="0" collapsed="false">
      <c r="A16" s="9" t="s">
        <v>457</v>
      </c>
      <c r="B16" s="45" t="s">
        <v>458</v>
      </c>
    </row>
  </sheetData>
  <mergeCells count="3">
    <mergeCell ref="A1:E1"/>
    <mergeCell ref="A8:E8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0"/>
  </cols>
  <sheetData>
    <row r="1" customFormat="false" ht="15.75" hidden="false" customHeight="true" outlineLevel="0" collapsed="false">
      <c r="A1" s="13" t="s">
        <v>459</v>
      </c>
      <c r="B1" s="13"/>
    </row>
    <row r="3" customFormat="false" ht="60" hidden="false" customHeight="true" outlineLevel="0" collapsed="false">
      <c r="A3" s="46" t="s">
        <v>460</v>
      </c>
      <c r="B3" s="45" t="s">
        <v>461</v>
      </c>
    </row>
    <row r="4" customFormat="false" ht="60" hidden="false" customHeight="true" outlineLevel="0" collapsed="false">
      <c r="A4" s="46" t="s">
        <v>462</v>
      </c>
      <c r="B4" s="45" t="s">
        <v>463</v>
      </c>
    </row>
    <row r="5" customFormat="false" ht="60" hidden="false" customHeight="true" outlineLevel="0" collapsed="false">
      <c r="A5" s="46" t="s">
        <v>464</v>
      </c>
      <c r="B5" s="45" t="s">
        <v>465</v>
      </c>
    </row>
    <row r="6" customFormat="false" ht="60" hidden="false" customHeight="true" outlineLevel="0" collapsed="false">
      <c r="A6" s="46" t="s">
        <v>466</v>
      </c>
      <c r="B6" s="45" t="s">
        <v>467</v>
      </c>
    </row>
    <row r="7" customFormat="false" ht="60" hidden="false" customHeight="true" outlineLevel="0" collapsed="false">
      <c r="A7" s="46" t="s">
        <v>468</v>
      </c>
      <c r="B7" s="45" t="s">
        <v>469</v>
      </c>
    </row>
    <row r="9" customFormat="false" ht="45" hidden="false" customHeight="true" outlineLevel="0" collapsed="false">
      <c r="A9" s="46" t="s">
        <v>470</v>
      </c>
      <c r="B9" s="47" t="s">
        <v>471</v>
      </c>
    </row>
    <row r="11" customFormat="false" ht="75" hidden="false" customHeight="true" outlineLevel="0" collapsed="false">
      <c r="A11" s="8" t="s">
        <v>472</v>
      </c>
      <c r="B11" s="47" t="s">
        <v>473</v>
      </c>
    </row>
    <row r="12" customFormat="false" ht="45" hidden="false" customHeight="true" outlineLevel="0" collapsed="false">
      <c r="A12" s="48" t="s">
        <v>474</v>
      </c>
      <c r="B12" s="49" t="s">
        <v>475</v>
      </c>
    </row>
    <row r="13" customFormat="false" ht="60" hidden="false" customHeight="true" outlineLevel="0" collapsed="false">
      <c r="A13" s="48" t="s">
        <v>476</v>
      </c>
      <c r="B13" s="49" t="s">
        <v>477</v>
      </c>
    </row>
    <row r="14" customFormat="false" ht="75" hidden="false" customHeight="true" outlineLevel="0" collapsed="false">
      <c r="A14" s="35" t="s">
        <v>478</v>
      </c>
      <c r="B14" s="50" t="s">
        <v>479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2026-09-15T16:39:44Z</dcterms:created>
  <dc:creator>openpyxl</dc:creator>
  <dc:description/>
  <dc:language>en-US</dc:language>
  <cp:lastModifiedBy/>
  <dcterms:modified xsi:type="dcterms:W3CDTF">2026-10-23T16:59:09Z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